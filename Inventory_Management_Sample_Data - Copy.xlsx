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Dell\Desktop\POWER BI FILES\new project\Excel project\"/>
    </mc:Choice>
  </mc:AlternateContent>
  <xr:revisionPtr revIDLastSave="0" documentId="13_ncr:1_{8BA102B9-EC15-4A56-83D6-1F88D2BA3280}" xr6:coauthVersionLast="47" xr6:coauthVersionMax="47" xr10:uidLastSave="{00000000-0000-0000-0000-000000000000}"/>
  <bookViews>
    <workbookView xWindow="-110" yWindow="-110" windowWidth="19420" windowHeight="10300" activeTab="4" xr2:uid="{00000000-000D-0000-FFFF-FFFF00000000}"/>
  </bookViews>
  <sheets>
    <sheet name="Table1 (2)" sheetId="16" r:id="rId1"/>
    <sheet name="sales analysis" sheetId="17" r:id="rId2"/>
    <sheet name="profit analysis" sheetId="18" r:id="rId3"/>
    <sheet name="stock analysis" sheetId="19" r:id="rId4"/>
    <sheet name="dashboard" sheetId="20" r:id="rId5"/>
  </sheets>
  <definedNames>
    <definedName name="ExternalData_1" localSheetId="0" hidden="1">'Table1 (2)'!$A$1:$L$201</definedName>
    <definedName name="Slicer_Category">#N/A</definedName>
    <definedName name="Slicer_Column1">#N/A</definedName>
    <definedName name="Slicer_Supplie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A526B5C-80A1-4409-B8FA-AD4FEC75566E}"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s>
</file>

<file path=xl/sharedStrings.xml><?xml version="1.0" encoding="utf-8"?>
<sst xmlns="http://schemas.openxmlformats.org/spreadsheetml/2006/main" count="1100" uniqueCount="48">
  <si>
    <t>Date</t>
  </si>
  <si>
    <t>Product</t>
  </si>
  <si>
    <t>Category</t>
  </si>
  <si>
    <t>Supplier</t>
  </si>
  <si>
    <t>Region</t>
  </si>
  <si>
    <t>Units_Sold</t>
  </si>
  <si>
    <t>Stock_In</t>
  </si>
  <si>
    <t>Current_Stock</t>
  </si>
  <si>
    <t>Cost_Price</t>
  </si>
  <si>
    <t>Selling_Price</t>
  </si>
  <si>
    <t>Chair</t>
  </si>
  <si>
    <t>Furniture</t>
  </si>
  <si>
    <t>NextGen Supplies</t>
  </si>
  <si>
    <t>West</t>
  </si>
  <si>
    <t>Monitor</t>
  </si>
  <si>
    <t>Electronics</t>
  </si>
  <si>
    <t>TechSupply Co</t>
  </si>
  <si>
    <t>East</t>
  </si>
  <si>
    <t>Prime Distributors</t>
  </si>
  <si>
    <t>Keyboard</t>
  </si>
  <si>
    <t>North</t>
  </si>
  <si>
    <t>Headphones</t>
  </si>
  <si>
    <t>Mouse</t>
  </si>
  <si>
    <t>Laptop</t>
  </si>
  <si>
    <t>South</t>
  </si>
  <si>
    <t>Printer</t>
  </si>
  <si>
    <t>Global Traders</t>
  </si>
  <si>
    <t>Table</t>
  </si>
  <si>
    <t>Total Revenue</t>
  </si>
  <si>
    <t>Grand Total</t>
  </si>
  <si>
    <t>Sum of Total Revenue</t>
  </si>
  <si>
    <t>Row Labels</t>
  </si>
  <si>
    <t>category</t>
  </si>
  <si>
    <t>Sum of profit</t>
  </si>
  <si>
    <t>Sum of profit%</t>
  </si>
  <si>
    <t>Sum of Units_Sold</t>
  </si>
  <si>
    <t>Column1</t>
  </si>
  <si>
    <t>Dead Stock</t>
  </si>
  <si>
    <t>Fast Moving</t>
  </si>
  <si>
    <t>Slow Moving</t>
  </si>
  <si>
    <t>Column Labels</t>
  </si>
  <si>
    <t>Count of Product</t>
  </si>
  <si>
    <t>Jan</t>
  </si>
  <si>
    <t>Feb</t>
  </si>
  <si>
    <t>Mar</t>
  </si>
  <si>
    <t>Apr</t>
  </si>
  <si>
    <t>May</t>
  </si>
  <si>
    <t>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</si>
</sst>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4009]\ * #,##0.00_ ;_ [$₹-4009]\ * \-#,##0.00_ ;_ [$₹-4009]\ * &quot;-&quot;??_ ;_ @_ "/>
    <numFmt numFmtId="165" formatCode="0.000%"/>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0" fontId="0" fillId="0" borderId="0" xfId="0" pivotButton="1"/>
    <xf numFmtId="0" fontId="0" fillId="0" borderId="0" xfId="0" applyAlignment="1">
      <alignment horizontal="left"/>
    </xf>
    <xf numFmtId="164" fontId="0" fillId="0" borderId="0" xfId="0" applyNumberFormat="1"/>
    <xf numFmtId="14" fontId="0" fillId="0" borderId="0" xfId="0" applyNumberFormat="1"/>
    <xf numFmtId="165" fontId="0" fillId="0" borderId="0" xfId="1" applyNumberFormat="1" applyFont="1"/>
    <xf numFmtId="165" fontId="0" fillId="0" borderId="0" xfId="0" applyNumberFormat="1"/>
    <xf numFmtId="0" fontId="0" fillId="2" borderId="0" xfId="0" applyFill="1"/>
    <xf numFmtId="0" fontId="0" fillId="0" borderId="0" xfId="0" applyNumberFormat="1"/>
  </cellXfs>
  <cellStyles count="2">
    <cellStyle name="Normal" xfId="0" builtinId="0"/>
    <cellStyle name="Percent" xfId="1" builtinId="5"/>
  </cellStyles>
  <dxfs count="874">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4" formatCode="_ [$₹-4009]\ * #,##0.00_ ;_ [$₹-4009]\ * \-#,##0.00_ ;_ [$₹-4009]\ * &quot;-&quot;??_ ;_ @_ "/>
    </dxf>
    <dxf>
      <numFmt numFmtId="0" formatCode="General"/>
    </dxf>
    <dxf>
      <numFmt numFmtId="0" formatCode="General"/>
    </dxf>
    <dxf>
      <numFmt numFmtId="0" formatCode="General"/>
    </dxf>
    <dxf>
      <numFmt numFmtId="0" formatCode="General"/>
    </dxf>
    <dxf>
      <numFmt numFmtId="0" formatCode="General"/>
    </dxf>
    <dxf>
      <numFmt numFmtId="19" formatCode="dd/mm/yyyy"/>
    </dxf>
    <dxf>
      <font>
        <b/>
        <color theme="1"/>
      </font>
      <border>
        <bottom style="thin">
          <color theme="4"/>
        </bottom>
        <vertical/>
        <horizontal/>
      </border>
    </dxf>
    <dxf>
      <font>
        <b val="0"/>
        <i val="0"/>
        <sz val="9"/>
        <color theme="1"/>
        <name val="Calibri"/>
        <family val="2"/>
        <scheme val="minor"/>
      </font>
      <fill>
        <patternFill>
          <bgColor theme="2" tint="-9.9948118533890809E-2"/>
        </patternFill>
      </fill>
      <border diagonalUp="0" diagonalDown="0">
        <left/>
        <right/>
        <top/>
        <bottom/>
        <vertical/>
        <horizontal/>
      </border>
    </dxf>
    <dxf>
      <font>
        <b/>
        <color theme="1"/>
      </font>
      <border>
        <bottom style="thin">
          <color theme="4"/>
        </bottom>
        <vertical/>
        <horizontal/>
      </border>
    </dxf>
    <dxf>
      <font>
        <b val="0"/>
        <i val="0"/>
        <sz val="12"/>
        <color theme="1"/>
        <name val="Calibri"/>
        <family val="2"/>
        <scheme val="minor"/>
      </font>
      <fill>
        <patternFill>
          <bgColor theme="0" tint="-4.9989318521683403E-2"/>
        </patternFill>
      </fill>
      <border diagonalUp="0" diagonalDown="0">
        <left/>
        <right/>
        <top/>
        <bottom/>
        <vertical/>
        <horizontal/>
      </border>
    </dxf>
  </dxfs>
  <tableStyles count="2" defaultTableStyle="TableStyleMedium9" defaultPivotStyle="PivotStyleLight16">
    <tableStyle name="my slicer" pivot="0" table="0" count="10" xr9:uid="{D673BBAF-BE17-400E-8C61-51D989B5C4CF}">
      <tableStyleElement type="wholeTable" dxfId="873"/>
      <tableStyleElement type="headerRow" dxfId="872"/>
    </tableStyle>
    <tableStyle name="my slicer 2" pivot="0" table="0" count="10" xr9:uid="{8C62AE80-4875-4B3E-9F08-696B2E649512}">
      <tableStyleElement type="wholeTable" dxfId="871"/>
      <tableStyleElement type="headerRow" dxfId="870"/>
    </tableStyle>
  </tableStyles>
  <colors>
    <mruColors>
      <color rgb="FFEAE7DA"/>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theme="5" tint="-0.24994659260841701"/>
            <name val="Calibri"/>
            <family val="2"/>
            <scheme val="minor"/>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theme="5" tint="-0.24994659260841701"/>
            <name val="Calibri"/>
            <family val="2"/>
            <scheme val="minor"/>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licer">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 slicer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[Inventory_Management_Sample_Data - Copy.xlsx]sales analysis!PivotTable4</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'sales analysis'!$E$6</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393-483F-A02B-E4BBC36D65C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393-483F-A02B-E4BBC36D65CA}"/>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393-483F-A02B-E4BBC36D65CA}"/>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0393-483F-A02B-E4BBC36D65C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analysis'!$D$7:$D$11</c:f>
              <c:strCache>
                <c:ptCount val="4"/>
                <c:pt idx="0">
                  <c:v>East</c:v>
                </c:pt>
                <c:pt idx="1">
                  <c:v>North</c:v>
                </c:pt>
                <c:pt idx="2">
                  <c:v>South</c:v>
                </c:pt>
                <c:pt idx="3">
                  <c:v>West</c:v>
                </c:pt>
              </c:strCache>
            </c:strRef>
          </c:cat>
          <c:val>
            <c:numRef>
              <c:f>'sales analysis'!$E$7:$E$11</c:f>
              <c:numCache>
                <c:formatCode>General</c:formatCode>
                <c:ptCount val="4"/>
                <c:pt idx="0">
                  <c:v>50650906</c:v>
                </c:pt>
                <c:pt idx="1">
                  <c:v>69151711</c:v>
                </c:pt>
                <c:pt idx="2">
                  <c:v>84538324</c:v>
                </c:pt>
                <c:pt idx="3">
                  <c:v>89123864</c:v>
                </c:pt>
              </c:numCache>
            </c:numRef>
          </c:val>
          <c:extLst>
            <c:ext xmlns:c16="http://schemas.microsoft.com/office/drawing/2014/chart" uri="{C3380CC4-5D6E-409C-BE32-E72D297353CC}">
              <c16:uniqueId val="{00000008-0393-483F-A02B-E4BBC36D65C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[Inventory_Management_Sample_Data - Copy.xlsx]stock analysis!PivotTable12</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'stock analysis'!$B$1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1B3-4C1D-AC3B-EE6A4B460BE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1B3-4C1D-AC3B-EE6A4B460BED}"/>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1B3-4C1D-AC3B-EE6A4B460BE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'stock analysis'!$A$2:$A$5</c:f>
              <c:strCache>
                <c:ptCount val="3"/>
                <c:pt idx="0">
                  <c:v>Dead Stock</c:v>
                </c:pt>
                <c:pt idx="1">
                  <c:v>Fast Moving</c:v>
                </c:pt>
                <c:pt idx="2">
                  <c:v>Slow Moving</c:v>
                </c:pt>
              </c:strCache>
            </c:strRef>
          </c:cat>
          <c:val>
            <c:numRef>
              <c:f>'stock analysis'!$B$2:$B$5</c:f>
              <c:numCache>
                <c:formatCode>General</c:formatCode>
                <c:ptCount val="3"/>
                <c:pt idx="0">
                  <c:v>60</c:v>
                </c:pt>
                <c:pt idx="1">
                  <c:v>79</c:v>
                </c:pt>
                <c:pt idx="2">
                  <c:v>61</c:v>
                </c:pt>
              </c:numCache>
            </c:numRef>
          </c:val>
          <c:extLst>
            <c:ext xmlns:c16="http://schemas.microsoft.com/office/drawing/2014/chart" uri="{C3380CC4-5D6E-409C-BE32-E72D297353CC}">
              <c16:uniqueId val="{00000006-C1B3-4C1D-AC3B-EE6A4B460BE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57199226575967943"/>
          <c:y val="0.21826650514839493"/>
          <c:w val="0.35108465731724364"/>
          <c:h val="0.571159297395517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[Inventory_Management_Sample_Data - Copy.xlsx]profit analysis!PivotTable11</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701116291667473E-2"/>
          <c:y val="0.30761100738696329"/>
          <c:w val="0.97929888370833251"/>
          <c:h val="0.49708429828624362"/>
        </c:manualLayout>
      </c:layout>
      <c:lineChart>
        <c:grouping val="standard"/>
        <c:varyColors val="0"/>
        <c:ser>
          <c:idx val="0"/>
          <c:order val="0"/>
          <c:tx>
            <c:strRef>
              <c:f>'profit analysis'!$J$1</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'profit analysis'!$I$2:$I$8</c:f>
              <c:strCache>
                <c:ptCount val="6"/>
                <c:pt idx="0">
                  <c:v>Jan</c:v>
                </c:pt>
                <c:pt idx="1">
                  <c:v>Feb</c:v>
                </c:pt>
                <c:pt idx="2">
                  <c:v>Mar</c:v>
                </c:pt>
                <c:pt idx="3">
                  <c:v>Apr</c:v>
                </c:pt>
                <c:pt idx="4">
                  <c:v>May</c:v>
                </c:pt>
                <c:pt idx="5">
                  <c:v>Jun</c:v>
                </c:pt>
              </c:strCache>
            </c:strRef>
          </c:cat>
          <c:val>
            <c:numRef>
              <c:f>'profit analysis'!$J$2:$J$8</c:f>
              <c:numCache>
                <c:formatCode>0.000%</c:formatCode>
                <c:ptCount val="6"/>
                <c:pt idx="0">
                  <c:v>4.3558609867255273E-3</c:v>
                </c:pt>
                <c:pt idx="1">
                  <c:v>3.2259736397292874E-3</c:v>
                </c:pt>
                <c:pt idx="2">
                  <c:v>2.3867200304012802E-3</c:v>
                </c:pt>
                <c:pt idx="3">
                  <c:v>2.324568881671628E-3</c:v>
                </c:pt>
                <c:pt idx="4">
                  <c:v>4.2087009849669319E-3</c:v>
                </c:pt>
                <c:pt idx="5">
                  <c:v>4.8443877346443578E-3</c:v>
                </c:pt>
              </c:numCache>
            </c:numRef>
          </c:val>
          <c:smooth val="0"/>
          <c:extLst>
            <c:ext xmlns:c16="http://schemas.microsoft.com/office/drawing/2014/chart" uri="{C3380CC4-5D6E-409C-BE32-E72D297353CC}">
              <c16:uniqueId val="{00000000-B457-4F7D-A8A9-6CDB5CA2BE18}"/>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488669823"/>
        <c:axId val="1488671743"/>
      </c:lineChart>
      <c:catAx>
        <c:axId val="1488669823"/>
        <c:scaling>
          <c:orientation val="minMax"/>
        </c:scaling>
        <c:delete val="0"/>
        <c:axPos val="b"/>
        <c:numFmt formatCode="General" sourceLinked="1"/>
        <c:majorTickMark val="none"/>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488671743"/>
        <c:crosses val="autoZero"/>
        <c:auto val="1"/>
        <c:lblAlgn val="ctr"/>
        <c:lblOffset val="100"/>
        <c:noMultiLvlLbl val="0"/>
      </c:catAx>
      <c:valAx>
        <c:axId val="1488671743"/>
        <c:scaling>
          <c:orientation val="minMax"/>
        </c:scaling>
        <c:delete val="1"/>
        <c:axPos val="l"/>
        <c:numFmt formatCode="0.000%" sourceLinked="1"/>
        <c:majorTickMark val="none"/>
        <c:minorTickMark val="none"/>
        <c:tickLblPos val="nextTo"/>
        <c:crossAx val="1488669823"/>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[Inventory_Management_Sample_Data - Copy.xlsx]stock analysis!PivotTable13</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alpha val="85000"/>
            </a:schemeClr>
          </a:solidFill>
          <a:ln w="9525" cap="flat" cmpd="sng" algn="ctr">
            <a:solidFill>
              <a:schemeClr val="lt1">
                <a:alpha val="50000"/>
              </a:schemeClr>
            </a:solidFill>
            <a:round/>
          </a:ln>
          <a:effectLst/>
        </c:spPr>
      </c:pivotFmt>
      <c:pivotFmt>
        <c:idx val="10"/>
        <c:spPr>
          <a:solidFill>
            <a:schemeClr val="accent2">
              <a:alpha val="85000"/>
            </a:schemeClr>
          </a:solidFill>
          <a:ln w="9525" cap="flat" cmpd="sng" algn="ctr">
            <a:solidFill>
              <a:schemeClr val="lt1">
                <a:alpha val="50000"/>
              </a:schemeClr>
            </a:solidFill>
            <a:round/>
          </a:ln>
          <a:effectLst/>
        </c:spPr>
      </c:pivotFmt>
      <c:pivotFmt>
        <c:idx val="11"/>
        <c:spPr>
          <a:solidFill>
            <a:schemeClr val="accent2">
              <a:alpha val="85000"/>
            </a:schemeClr>
          </a:solidFill>
          <a:ln w="9525" cap="flat" cmpd="sng" algn="ctr">
            <a:solidFill>
              <a:schemeClr val="lt1">
                <a:alpha val="50000"/>
              </a:schemeClr>
            </a:solidFill>
            <a:round/>
          </a:ln>
          <a:effectLst/>
        </c:spPr>
      </c:pivotFmt>
      <c:pivotFmt>
        <c:idx val="12"/>
        <c:spPr>
          <a:solidFill>
            <a:schemeClr val="accent2">
              <a:alpha val="85000"/>
            </a:schemeClr>
          </a:solidFill>
          <a:ln w="9525" cap="flat" cmpd="sng" algn="ctr">
            <a:solidFill>
              <a:schemeClr val="lt1">
                <a:alpha val="50000"/>
              </a:schemeClr>
            </a:solidFill>
            <a:round/>
          </a:ln>
          <a:effectLst/>
        </c:spPr>
      </c:pivotFmt>
      <c:pivotFmt>
        <c:idx val="13"/>
        <c:spPr>
          <a:solidFill>
            <a:schemeClr val="accent2">
              <a:alpha val="85000"/>
            </a:schemeClr>
          </a:solidFill>
          <a:ln w="9525" cap="flat" cmpd="sng" algn="ctr">
            <a:solidFill>
              <a:schemeClr val="lt1">
                <a:alpha val="50000"/>
              </a:schemeClr>
            </a:solidFill>
            <a:round/>
          </a:ln>
          <a:effectLst/>
        </c:spPr>
      </c:pivotFmt>
      <c:pivotFmt>
        <c:idx val="14"/>
        <c:spPr>
          <a:solidFill>
            <a:schemeClr val="accent2">
              <a:alpha val="85000"/>
            </a:schemeClr>
          </a:solidFill>
          <a:ln w="9525" cap="flat" cmpd="sng" algn="ctr">
            <a:solidFill>
              <a:schemeClr val="lt1">
                <a:alpha val="50000"/>
              </a:schemeClr>
            </a:solidFill>
            <a:round/>
          </a:ln>
          <a:effectLst/>
        </c:spPr>
      </c:pivotFmt>
      <c:pivotFmt>
        <c:idx val="15"/>
        <c:spPr>
          <a:solidFill>
            <a:schemeClr val="accent2">
              <a:alpha val="85000"/>
            </a:schemeClr>
          </a:solidFill>
          <a:ln w="9525" cap="flat" cmpd="sng" algn="ctr">
            <a:solidFill>
              <a:schemeClr val="lt1">
                <a:alpha val="50000"/>
              </a:schemeClr>
            </a:solidFill>
            <a:round/>
          </a:ln>
          <a:effectLst/>
        </c:spPr>
      </c:pivotFmt>
      <c:pivotFmt>
        <c:idx val="16"/>
        <c:spPr>
          <a:solidFill>
            <a:schemeClr val="accent2">
              <a:alpha val="85000"/>
            </a:schemeClr>
          </a:solidFill>
          <a:ln w="9525" cap="flat" cmpd="sng" algn="ctr">
            <a:solidFill>
              <a:schemeClr val="lt1">
                <a:alpha val="50000"/>
              </a:schemeClr>
            </a:solidFill>
            <a:round/>
          </a:ln>
          <a:effectLst/>
        </c:spPr>
      </c:pivotFmt>
    </c:pivotFmts>
    <c:plotArea>
      <c:layout>
        <c:manualLayout>
          <c:layoutTarget val="inner"/>
          <c:xMode val="edge"/>
          <c:yMode val="edge"/>
          <c:x val="1.1114215809883393E-2"/>
          <c:y val="0.10374868105075843"/>
          <c:w val="0.76711964129483801"/>
          <c:h val="0.61174795061456733"/>
        </c:manualLayout>
      </c:layout>
      <c:barChart>
        <c:barDir val="col"/>
        <c:grouping val="clustered"/>
        <c:varyColors val="0"/>
        <c:ser>
          <c:idx val="0"/>
          <c:order val="0"/>
          <c:tx>
            <c:strRef>
              <c:f>'stock analysis'!$E$1:$E$2</c:f>
              <c:strCache>
                <c:ptCount val="1"/>
                <c:pt idx="0">
                  <c:v>Dead Stock</c:v>
                </c:pt>
              </c:strCache>
            </c:strRef>
          </c:tx>
          <c:spPr>
            <a:solidFill>
              <a:schemeClr val="accent1">
                <a:alpha val="85000"/>
              </a:schemeClr>
            </a:solidFill>
            <a:ln w="9525" cap="flat" cmpd="sng" algn="ctr">
              <a:solidFill>
                <a:schemeClr val="lt1">
                  <a:alpha val="50000"/>
                </a:schemeClr>
              </a:solidFill>
              <a:round/>
            </a:ln>
            <a:effectLst/>
          </c:spPr>
          <c:invertIfNegative val="0"/>
          <c:dLbls>
            <c:delete val="1"/>
          </c:dLbls>
          <c:cat>
            <c:strRef>
              <c:f>'stock analysis'!$D$3:$D$11</c:f>
              <c:strCache>
                <c:ptCount val="8"/>
                <c:pt idx="0">
                  <c:v>Chair</c:v>
                </c:pt>
                <c:pt idx="1">
                  <c:v>Headphones</c:v>
                </c:pt>
                <c:pt idx="2">
                  <c:v>Keyboard</c:v>
                </c:pt>
                <c:pt idx="3">
                  <c:v>Laptop</c:v>
                </c:pt>
                <c:pt idx="4">
                  <c:v>Monitor</c:v>
                </c:pt>
                <c:pt idx="5">
                  <c:v>Mouse</c:v>
                </c:pt>
                <c:pt idx="6">
                  <c:v>Printer</c:v>
                </c:pt>
                <c:pt idx="7">
                  <c:v>Table</c:v>
                </c:pt>
              </c:strCache>
            </c:strRef>
          </c:cat>
          <c:val>
            <c:numRef>
              <c:f>'stock analysis'!$E$3:$E$11</c:f>
              <c:numCache>
                <c:formatCode>General</c:formatCode>
                <c:ptCount val="8"/>
                <c:pt idx="0">
                  <c:v>222</c:v>
                </c:pt>
                <c:pt idx="1">
                  <c:v>113</c:v>
                </c:pt>
                <c:pt idx="2">
                  <c:v>51</c:v>
                </c:pt>
                <c:pt idx="3">
                  <c:v>112</c:v>
                </c:pt>
                <c:pt idx="4">
                  <c:v>268</c:v>
                </c:pt>
                <c:pt idx="5">
                  <c:v>176</c:v>
                </c:pt>
                <c:pt idx="6">
                  <c:v>272</c:v>
                </c:pt>
                <c:pt idx="7">
                  <c:v>191</c:v>
                </c:pt>
              </c:numCache>
            </c:numRef>
          </c:val>
          <c:extLst>
            <c:ext xmlns:c16="http://schemas.microsoft.com/office/drawing/2014/chart" uri="{C3380CC4-5D6E-409C-BE32-E72D297353CC}">
              <c16:uniqueId val="{00000000-E693-4286-9F68-3CF1F060EBA4}"/>
            </c:ext>
          </c:extLst>
        </c:ser>
        <c:ser>
          <c:idx val="1"/>
          <c:order val="1"/>
          <c:tx>
            <c:strRef>
              <c:f>'stock analysis'!$F$1:$F$2</c:f>
              <c:strCache>
                <c:ptCount val="1"/>
                <c:pt idx="0">
                  <c:v>Fast Moving</c:v>
                </c:pt>
              </c:strCache>
            </c:strRef>
          </c:tx>
          <c:spPr>
            <a:solidFill>
              <a:schemeClr val="accent2">
                <a:alpha val="85000"/>
              </a:schemeClr>
            </a:solidFill>
            <a:ln w="9525" cap="flat" cmpd="sng" algn="ctr">
              <a:solidFill>
                <a:schemeClr val="lt1">
                  <a:alpha val="50000"/>
                </a:schemeClr>
              </a:solidFill>
              <a:round/>
            </a:ln>
            <a:effectLst/>
          </c:spPr>
          <c:invertIfNegative val="0"/>
          <c:dLbls>
            <c:delete val="1"/>
          </c:dLbls>
          <c:cat>
            <c:strRef>
              <c:f>'stock analysis'!$D$3:$D$11</c:f>
              <c:strCache>
                <c:ptCount val="8"/>
                <c:pt idx="0">
                  <c:v>Chair</c:v>
                </c:pt>
                <c:pt idx="1">
                  <c:v>Headphones</c:v>
                </c:pt>
                <c:pt idx="2">
                  <c:v>Keyboard</c:v>
                </c:pt>
                <c:pt idx="3">
                  <c:v>Laptop</c:v>
                </c:pt>
                <c:pt idx="4">
                  <c:v>Monitor</c:v>
                </c:pt>
                <c:pt idx="5">
                  <c:v>Mouse</c:v>
                </c:pt>
                <c:pt idx="6">
                  <c:v>Printer</c:v>
                </c:pt>
                <c:pt idx="7">
                  <c:v>Table</c:v>
                </c:pt>
              </c:strCache>
            </c:strRef>
          </c:cat>
          <c:val>
            <c:numRef>
              <c:f>'stock analysis'!$F$3:$F$11</c:f>
              <c:numCache>
                <c:formatCode>General</c:formatCode>
                <c:ptCount val="8"/>
                <c:pt idx="0">
                  <c:v>585</c:v>
                </c:pt>
                <c:pt idx="1">
                  <c:v>319</c:v>
                </c:pt>
                <c:pt idx="2">
                  <c:v>954</c:v>
                </c:pt>
                <c:pt idx="3">
                  <c:v>614</c:v>
                </c:pt>
                <c:pt idx="4">
                  <c:v>771</c:v>
                </c:pt>
                <c:pt idx="5">
                  <c:v>642</c:v>
                </c:pt>
                <c:pt idx="6">
                  <c:v>700</c:v>
                </c:pt>
                <c:pt idx="7">
                  <c:v>406</c:v>
                </c:pt>
              </c:numCache>
            </c:numRef>
          </c:val>
          <c:extLst>
            <c:ext xmlns:c16="http://schemas.microsoft.com/office/drawing/2014/chart" uri="{C3380CC4-5D6E-409C-BE32-E72D297353CC}">
              <c16:uniqueId val="{00000011-C40C-4FF4-B8A5-08E79C83F45F}"/>
            </c:ext>
          </c:extLst>
        </c:ser>
        <c:ser>
          <c:idx val="2"/>
          <c:order val="2"/>
          <c:tx>
            <c:strRef>
              <c:f>'stock analysis'!$G$1:$G$2</c:f>
              <c:strCache>
                <c:ptCount val="1"/>
                <c:pt idx="0">
                  <c:v>Slow Moving</c:v>
                </c:pt>
              </c:strCache>
            </c:strRef>
          </c:tx>
          <c:spPr>
            <a:solidFill>
              <a:schemeClr val="accent3">
                <a:alpha val="85000"/>
              </a:schemeClr>
            </a:solidFill>
            <a:ln w="9525" cap="flat" cmpd="sng" algn="ctr">
              <a:solidFill>
                <a:schemeClr val="lt1">
                  <a:alpha val="50000"/>
                </a:schemeClr>
              </a:solidFill>
              <a:round/>
            </a:ln>
            <a:effectLst/>
          </c:spPr>
          <c:invertIfNegative val="0"/>
          <c:dLbls>
            <c:delete val="1"/>
          </c:dLbls>
          <c:cat>
            <c:strRef>
              <c:f>'stock analysis'!$D$3:$D$11</c:f>
              <c:strCache>
                <c:ptCount val="8"/>
                <c:pt idx="0">
                  <c:v>Chair</c:v>
                </c:pt>
                <c:pt idx="1">
                  <c:v>Headphones</c:v>
                </c:pt>
                <c:pt idx="2">
                  <c:v>Keyboard</c:v>
                </c:pt>
                <c:pt idx="3">
                  <c:v>Laptop</c:v>
                </c:pt>
                <c:pt idx="4">
                  <c:v>Monitor</c:v>
                </c:pt>
                <c:pt idx="5">
                  <c:v>Mouse</c:v>
                </c:pt>
                <c:pt idx="6">
                  <c:v>Printer</c:v>
                </c:pt>
                <c:pt idx="7">
                  <c:v>Table</c:v>
                </c:pt>
              </c:strCache>
            </c:strRef>
          </c:cat>
          <c:val>
            <c:numRef>
              <c:f>'stock analysis'!$G$3:$G$11</c:f>
              <c:numCache>
                <c:formatCode>General</c:formatCode>
                <c:ptCount val="8"/>
                <c:pt idx="0">
                  <c:v>455</c:v>
                </c:pt>
                <c:pt idx="1">
                  <c:v>587</c:v>
                </c:pt>
                <c:pt idx="2">
                  <c:v>406</c:v>
                </c:pt>
                <c:pt idx="3">
                  <c:v>376</c:v>
                </c:pt>
                <c:pt idx="4">
                  <c:v>488</c:v>
                </c:pt>
                <c:pt idx="5">
                  <c:v>403</c:v>
                </c:pt>
                <c:pt idx="6">
                  <c:v>533</c:v>
                </c:pt>
                <c:pt idx="7">
                  <c:v>233</c:v>
                </c:pt>
              </c:numCache>
            </c:numRef>
          </c:val>
          <c:extLst>
            <c:ext xmlns:c16="http://schemas.microsoft.com/office/drawing/2014/chart" uri="{C3380CC4-5D6E-409C-BE32-E72D297353CC}">
              <c16:uniqueId val="{00000012-C40C-4FF4-B8A5-08E79C83F45F}"/>
            </c:ext>
          </c:extLst>
        </c:ser>
        <c:dLbls>
          <c:dLblPos val="inEnd"/>
          <c:showLegendKey val="0"/>
          <c:showVal val="1"/>
          <c:showCatName val="0"/>
          <c:showSerName val="0"/>
          <c:showPercent val="0"/>
          <c:showBubbleSize val="0"/>
        </c:dLbls>
        <c:gapWidth val="65"/>
        <c:axId val="1476973023"/>
        <c:axId val="1476974463"/>
      </c:barChart>
      <c:catAx>
        <c:axId val="1476973023"/>
        <c:scaling>
          <c:orientation val="minMax"/>
        </c:scaling>
        <c:delete val="0"/>
        <c:axPos val="b"/>
        <c:numFmt formatCode="General" sourceLinked="1"/>
        <c:majorTickMark val="none"/>
        <c:minorTickMark val="none"/>
        <c:tickLblPos val="nextTo"/>
        <c:spPr>
          <a:noFill/>
          <a:ln w="19050" cap="flat" cmpd="sng" algn="ctr">
            <a:noFill/>
            <a:round/>
          </a:ln>
          <a:effectLst/>
        </c:spPr>
        <c:txPr>
          <a:bodyPr rot="-60000000" spcFirstLastPara="1" vertOverflow="ellipsis" vert="horz" wrap="square" anchor="ctr" anchorCtr="1"/>
          <a:lstStyle/>
          <a:p>
            <a:pPr>
              <a:defRPr sz="600" b="0" i="0" u="none" strike="noStrike" kern="1200" cap="all" baseline="0">
                <a:solidFill>
                  <a:schemeClr val="dk1"/>
                </a:solidFill>
                <a:latin typeface="+mn-lt"/>
                <a:ea typeface="+mn-ea"/>
                <a:cs typeface="+mn-cs"/>
              </a:defRPr>
            </a:pPr>
            <a:endParaRPr lang="en-US"/>
          </a:p>
        </c:txPr>
        <c:crossAx val="1476974463"/>
        <c:crosses val="autoZero"/>
        <c:auto val="1"/>
        <c:lblAlgn val="ctr"/>
        <c:lblOffset val="100"/>
        <c:noMultiLvlLbl val="0"/>
      </c:catAx>
      <c:valAx>
        <c:axId val="147697446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476973023"/>
        <c:crosses val="autoZero"/>
        <c:crossBetween val="between"/>
      </c:valAx>
      <c:spPr>
        <a:noFill/>
        <a:ln>
          <a:noFill/>
        </a:ln>
        <a:effectLst/>
      </c:spPr>
    </c:plotArea>
    <c:legend>
      <c:legendPos val="r"/>
      <c:layout>
        <c:manualLayout>
          <c:xMode val="edge"/>
          <c:yMode val="edge"/>
          <c:x val="0.79315911852867649"/>
          <c:y val="5.0205406406348074E-2"/>
          <c:w val="0.17216784455909115"/>
          <c:h val="0.8857838722842942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[Inventory_Management_Sample_Data - Copy.xlsx]sales analysis!PivotTable1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491443997833504E-2"/>
          <c:y val="0.19319996957480795"/>
          <c:w val="0.90102689029252325"/>
          <c:h val="0.59590853607739591"/>
        </c:manualLayout>
      </c:layout>
      <c:barChart>
        <c:barDir val="col"/>
        <c:grouping val="clustered"/>
        <c:varyColors val="0"/>
        <c:ser>
          <c:idx val="0"/>
          <c:order val="0"/>
          <c:tx>
            <c:strRef>
              <c:f>'sales analysis'!$B$1</c:f>
              <c:strCache>
                <c:ptCount val="1"/>
                <c:pt idx="0">
                  <c:v>Total</c:v>
                </c:pt>
              </c:strCache>
            </c:strRef>
          </c:tx>
          <c:spPr>
            <a:solidFill>
              <a:srgbClr val="00B0F0"/>
            </a:solidFill>
            <a:ln>
              <a:noFill/>
            </a:ln>
            <a:effectLst/>
          </c:spPr>
          <c:invertIfNegative val="0"/>
          <c:cat>
            <c:strRef>
              <c:f>'sales analysis'!$A$2:$A$10</c:f>
              <c:strCache>
                <c:ptCount val="8"/>
                <c:pt idx="0">
                  <c:v>Chair</c:v>
                </c:pt>
                <c:pt idx="1">
                  <c:v>Headphones</c:v>
                </c:pt>
                <c:pt idx="2">
                  <c:v>Keyboard</c:v>
                </c:pt>
                <c:pt idx="3">
                  <c:v>Laptop</c:v>
                </c:pt>
                <c:pt idx="4">
                  <c:v>Monitor</c:v>
                </c:pt>
                <c:pt idx="5">
                  <c:v>Mouse</c:v>
                </c:pt>
                <c:pt idx="6">
                  <c:v>Printer</c:v>
                </c:pt>
                <c:pt idx="7">
                  <c:v>Table</c:v>
                </c:pt>
              </c:strCache>
            </c:strRef>
          </c:cat>
          <c:val>
            <c:numRef>
              <c:f>'sales analysis'!$B$2:$B$10</c:f>
              <c:numCache>
                <c:formatCode>General</c:formatCode>
                <c:ptCount val="8"/>
                <c:pt idx="0">
                  <c:v>37042541</c:v>
                </c:pt>
                <c:pt idx="1">
                  <c:v>30499843</c:v>
                </c:pt>
                <c:pt idx="2">
                  <c:v>44316915</c:v>
                </c:pt>
                <c:pt idx="3">
                  <c:v>33660287</c:v>
                </c:pt>
                <c:pt idx="4">
                  <c:v>37384053</c:v>
                </c:pt>
                <c:pt idx="5">
                  <c:v>36663876</c:v>
                </c:pt>
                <c:pt idx="6">
                  <c:v>47945024</c:v>
                </c:pt>
                <c:pt idx="7">
                  <c:v>25952266</c:v>
                </c:pt>
              </c:numCache>
            </c:numRef>
          </c:val>
          <c:extLst>
            <c:ext xmlns:c16="http://schemas.microsoft.com/office/drawing/2014/chart" uri="{C3380CC4-5D6E-409C-BE32-E72D297353CC}">
              <c16:uniqueId val="{00000000-40B4-467B-A717-EB1BC5C6B412}"/>
            </c:ext>
          </c:extLst>
        </c:ser>
        <c:dLbls>
          <c:showLegendKey val="0"/>
          <c:showVal val="0"/>
          <c:showCatName val="0"/>
          <c:showSerName val="0"/>
          <c:showPercent val="0"/>
          <c:showBubbleSize val="0"/>
        </c:dLbls>
        <c:gapWidth val="219"/>
        <c:overlap val="-27"/>
        <c:axId val="1398052159"/>
        <c:axId val="1398048799"/>
      </c:barChart>
      <c:catAx>
        <c:axId val="1398052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398048799"/>
        <c:crosses val="autoZero"/>
        <c:auto val="1"/>
        <c:lblAlgn val="ctr"/>
        <c:lblOffset val="100"/>
        <c:noMultiLvlLbl val="0"/>
      </c:catAx>
      <c:valAx>
        <c:axId val="139804879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98052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349250</xdr:colOff>
      <xdr:row>4</xdr:row>
      <xdr:rowOff>107950</xdr:rowOff>
    </xdr:from>
    <xdr:to>
      <xdr:col>9</xdr:col>
      <xdr:colOff>444500</xdr:colOff>
      <xdr:row>12</xdr:row>
      <xdr:rowOff>139700</xdr:rowOff>
    </xdr:to>
    <xdr:sp macro="" textlink="">
      <xdr:nvSpPr>
        <xdr:cNvPr id="9" name="Rectangle: Rounded Corners 8">
          <a:extLst>
            <a:ext uri="{FF2B5EF4-FFF2-40B4-BE49-F238E27FC236}">
              <a16:creationId xmlns:a16="http://schemas.microsoft.com/office/drawing/2014/main" id="{6149BC2D-32A0-4330-B69C-91210F475998}"/>
            </a:ext>
          </a:extLst>
        </xdr:cNvPr>
        <xdr:cNvSpPr/>
      </xdr:nvSpPr>
      <xdr:spPr>
        <a:xfrm>
          <a:off x="4006850" y="844550"/>
          <a:ext cx="1924050" cy="1504950"/>
        </a:xfrm>
        <a:prstGeom prst="roundRect">
          <a:avLst>
            <a:gd name="adj" fmla="val 7426"/>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222250</xdr:colOff>
      <xdr:row>13</xdr:row>
      <xdr:rowOff>12700</xdr:rowOff>
    </xdr:from>
    <xdr:to>
      <xdr:col>14</xdr:col>
      <xdr:colOff>139700</xdr:colOff>
      <xdr:row>20</xdr:row>
      <xdr:rowOff>41413</xdr:rowOff>
    </xdr:to>
    <xdr:sp macro="" textlink="">
      <xdr:nvSpPr>
        <xdr:cNvPr id="12" name="Rectangle: Rounded Corners 11">
          <a:extLst>
            <a:ext uri="{FF2B5EF4-FFF2-40B4-BE49-F238E27FC236}">
              <a16:creationId xmlns:a16="http://schemas.microsoft.com/office/drawing/2014/main" id="{A4F7D9F0-87FC-4F2D-8E45-ECE4593F0280}"/>
            </a:ext>
          </a:extLst>
        </xdr:cNvPr>
        <xdr:cNvSpPr/>
      </xdr:nvSpPr>
      <xdr:spPr>
        <a:xfrm>
          <a:off x="5081380" y="2435363"/>
          <a:ext cx="3554896" cy="1333224"/>
        </a:xfrm>
        <a:prstGeom prst="roundRect">
          <a:avLst>
            <a:gd name="adj" fmla="val 7426"/>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578248</xdr:colOff>
      <xdr:row>2</xdr:row>
      <xdr:rowOff>102795</xdr:rowOff>
    </xdr:from>
    <xdr:to>
      <xdr:col>6</xdr:col>
      <xdr:colOff>27455</xdr:colOff>
      <xdr:row>3</xdr:row>
      <xdr:rowOff>162277</xdr:rowOff>
    </xdr:to>
    <xdr:sp macro="" textlink="'sales analysis'!C14">
      <xdr:nvSpPr>
        <xdr:cNvPr id="13" name="TextBox 12">
          <a:extLst>
            <a:ext uri="{FF2B5EF4-FFF2-40B4-BE49-F238E27FC236}">
              <a16:creationId xmlns:a16="http://schemas.microsoft.com/office/drawing/2014/main" id="{B1D68124-2A58-0B32-7EB3-79AC8B13DB4E}"/>
            </a:ext>
          </a:extLst>
        </xdr:cNvPr>
        <xdr:cNvSpPr txBox="1"/>
      </xdr:nvSpPr>
      <xdr:spPr>
        <a:xfrm>
          <a:off x="1791804" y="469684"/>
          <a:ext cx="1876318" cy="242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A728F7C2-2ED0-4152-B5A4-11ADA0588BFA}" type="TxLink">
            <a:rPr lang="en-US" sz="1400" b="0" i="0" u="none" strike="noStrike">
              <a:solidFill>
                <a:srgbClr val="000000"/>
              </a:solidFill>
              <a:latin typeface="Calibri"/>
              <a:ea typeface="Calibri"/>
              <a:cs typeface="Calibri"/>
            </a:rPr>
            <a:t> ₹ 29,34,64,805.00 </a:t>
          </a:fld>
          <a:endParaRPr lang="en-IN" sz="1400"/>
        </a:p>
      </xdr:txBody>
    </xdr:sp>
    <xdr:clientData/>
  </xdr:twoCellAnchor>
  <xdr:twoCellAnchor>
    <xdr:from>
      <xdr:col>6</xdr:col>
      <xdr:colOff>19050</xdr:colOff>
      <xdr:row>2</xdr:row>
      <xdr:rowOff>101600</xdr:rowOff>
    </xdr:from>
    <xdr:to>
      <xdr:col>8</xdr:col>
      <xdr:colOff>158750</xdr:colOff>
      <xdr:row>4</xdr:row>
      <xdr:rowOff>69850</xdr:rowOff>
    </xdr:to>
    <xdr:sp macro="" textlink="'sales analysis'!A14">
      <xdr:nvSpPr>
        <xdr:cNvPr id="16" name="TextBox 15">
          <a:extLst>
            <a:ext uri="{FF2B5EF4-FFF2-40B4-BE49-F238E27FC236}">
              <a16:creationId xmlns:a16="http://schemas.microsoft.com/office/drawing/2014/main" id="{664F67E3-1275-4D45-A039-B00D1BCE1558}"/>
            </a:ext>
          </a:extLst>
        </xdr:cNvPr>
        <xdr:cNvSpPr txBox="1"/>
      </xdr:nvSpPr>
      <xdr:spPr>
        <a:xfrm>
          <a:off x="3676650" y="469900"/>
          <a:ext cx="135890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6B16E54A-ED12-4A2D-9271-A60A993D2F8D}" type="TxLink">
            <a:rPr lang="en-US" sz="1400" b="0" i="0" u="none" strike="noStrike">
              <a:solidFill>
                <a:srgbClr val="000000"/>
              </a:solidFill>
              <a:latin typeface="Calibri"/>
              <a:ea typeface="Calibri"/>
              <a:cs typeface="Calibri"/>
            </a:rPr>
            <a:pPr algn="ctr"/>
            <a:t>200</a:t>
          </a:fld>
          <a:endParaRPr lang="en-IN" sz="1400"/>
        </a:p>
      </xdr:txBody>
    </xdr:sp>
    <xdr:clientData/>
  </xdr:twoCellAnchor>
  <xdr:twoCellAnchor>
    <xdr:from>
      <xdr:col>3</xdr:col>
      <xdr:colOff>234950</xdr:colOff>
      <xdr:row>0</xdr:row>
      <xdr:rowOff>177800</xdr:rowOff>
    </xdr:from>
    <xdr:to>
      <xdr:col>5</xdr:col>
      <xdr:colOff>374650</xdr:colOff>
      <xdr:row>2</xdr:row>
      <xdr:rowOff>31750</xdr:rowOff>
    </xdr:to>
    <xdr:sp macro="" textlink="'sales analysis'!B10">
      <xdr:nvSpPr>
        <xdr:cNvPr id="18" name="TextBox 17">
          <a:extLst>
            <a:ext uri="{FF2B5EF4-FFF2-40B4-BE49-F238E27FC236}">
              <a16:creationId xmlns:a16="http://schemas.microsoft.com/office/drawing/2014/main" id="{7E0BAA41-0DB9-4699-A057-97CFE1C1D37B}"/>
            </a:ext>
          </a:extLst>
        </xdr:cNvPr>
        <xdr:cNvSpPr txBox="1"/>
      </xdr:nvSpPr>
      <xdr:spPr>
        <a:xfrm>
          <a:off x="2063750" y="177800"/>
          <a:ext cx="1358900" cy="222250"/>
        </a:xfrm>
        <a:prstGeom prst="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50000" t="50000" r="50000" b="50000"/>
          </a:path>
          <a:tileRect/>
        </a:gradFill>
        <a:ln>
          <a:noFill/>
        </a:ln>
        <a:effectLst>
          <a:outerShdw blurRad="40000" dist="20000" dir="5400000" rotWithShape="0">
            <a:srgbClr val="000000">
              <a:alpha val="38000"/>
            </a:srgbClr>
          </a:outerShdw>
          <a:softEdge rad="12700"/>
        </a:effectLst>
        <a:scene3d>
          <a:camera prst="orthographicFront">
            <a:rot lat="0" lon="600000" rev="0"/>
          </a:camera>
          <a:lightRig rig="threePt" dir="t"/>
        </a:scene3d>
      </xdr:spPr>
      <xdr:style>
        <a:lnRef idx="1">
          <a:schemeClr val="accent3"/>
        </a:lnRef>
        <a:fillRef idx="2">
          <a:schemeClr val="accent3"/>
        </a:fillRef>
        <a:effectRef idx="1">
          <a:schemeClr val="accent3"/>
        </a:effectRef>
        <a:fontRef idx="minor">
          <a:schemeClr val="dk1"/>
        </a:fontRef>
      </xdr:style>
      <xdr:txBody>
        <a:bodyPr vertOverflow="clip" horzOverflow="clip" wrap="square" lIns="0" tIns="0" rIns="0" bIns="0" rtlCol="0" anchor="t"/>
        <a:lstStyle/>
        <a:p>
          <a:pPr algn="ctr"/>
          <a:r>
            <a:rPr lang="en-IN" sz="1200"/>
            <a:t>Total</a:t>
          </a:r>
          <a:r>
            <a:rPr lang="en-IN" sz="1200" baseline="0"/>
            <a:t> Revenue</a:t>
          </a:r>
          <a:endParaRPr lang="en-IN" sz="1200"/>
        </a:p>
      </xdr:txBody>
    </xdr:sp>
    <xdr:clientData/>
  </xdr:twoCellAnchor>
  <xdr:twoCellAnchor>
    <xdr:from>
      <xdr:col>6</xdr:col>
      <xdr:colOff>374650</xdr:colOff>
      <xdr:row>1</xdr:row>
      <xdr:rowOff>0</xdr:rowOff>
    </xdr:from>
    <xdr:to>
      <xdr:col>8</xdr:col>
      <xdr:colOff>514350</xdr:colOff>
      <xdr:row>2</xdr:row>
      <xdr:rowOff>38100</xdr:rowOff>
    </xdr:to>
    <xdr:sp macro="" textlink="'sales analysis'!B10">
      <xdr:nvSpPr>
        <xdr:cNvPr id="19" name="TextBox 18">
          <a:extLst>
            <a:ext uri="{FF2B5EF4-FFF2-40B4-BE49-F238E27FC236}">
              <a16:creationId xmlns:a16="http://schemas.microsoft.com/office/drawing/2014/main" id="{F1FE33B5-524F-42DB-96FD-60485D308A19}"/>
            </a:ext>
          </a:extLst>
        </xdr:cNvPr>
        <xdr:cNvSpPr txBox="1"/>
      </xdr:nvSpPr>
      <xdr:spPr>
        <a:xfrm>
          <a:off x="4032250" y="184150"/>
          <a:ext cx="1358900" cy="222250"/>
        </a:xfrm>
        <a:prstGeom prst="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2700000" scaled="1"/>
          <a:tileRect/>
        </a:gradFill>
        <a:ln>
          <a:noFill/>
        </a:ln>
        <a:effectLst>
          <a:outerShdw blurRad="40000" dist="20000" dir="5400000" rotWithShape="0">
            <a:srgbClr val="000000">
              <a:alpha val="38000"/>
            </a:srgbClr>
          </a:outerShdw>
          <a:softEdge rad="12700"/>
        </a:effectLst>
        <a:scene3d>
          <a:camera prst="orthographicFront">
            <a:rot lat="0" lon="600000" rev="0"/>
          </a:camera>
          <a:lightRig rig="threePt" dir="t"/>
        </a:scene3d>
      </xdr:spPr>
      <xdr:style>
        <a:lnRef idx="1">
          <a:schemeClr val="accent3"/>
        </a:lnRef>
        <a:fillRef idx="2">
          <a:schemeClr val="accent3"/>
        </a:fillRef>
        <a:effectRef idx="1">
          <a:schemeClr val="accent3"/>
        </a:effectRef>
        <a:fontRef idx="minor">
          <a:schemeClr val="dk1"/>
        </a:fontRef>
      </xdr:style>
      <xdr:txBody>
        <a:bodyPr vertOverflow="clip" horzOverflow="clip" wrap="square" lIns="0" tIns="0" rIns="0" bIns="0" rtlCol="0" anchor="t"/>
        <a:lstStyle/>
        <a:p>
          <a:pPr algn="ctr"/>
          <a:r>
            <a:rPr lang="en-IN" sz="1200"/>
            <a:t>Total</a:t>
          </a:r>
          <a:r>
            <a:rPr lang="en-IN" sz="1200" baseline="0"/>
            <a:t> Product</a:t>
          </a:r>
          <a:endParaRPr lang="en-IN" sz="1200"/>
        </a:p>
      </xdr:txBody>
    </xdr:sp>
    <xdr:clientData/>
  </xdr:twoCellAnchor>
  <xdr:twoCellAnchor editAs="oneCell">
    <xdr:from>
      <xdr:col>5</xdr:col>
      <xdr:colOff>361951</xdr:colOff>
      <xdr:row>0</xdr:row>
      <xdr:rowOff>171450</xdr:rowOff>
    </xdr:from>
    <xdr:to>
      <xdr:col>6</xdr:col>
      <xdr:colOff>285751</xdr:colOff>
      <xdr:row>4</xdr:row>
      <xdr:rowOff>6350</xdr:rowOff>
    </xdr:to>
    <xdr:pic>
      <xdr:nvPicPr>
        <xdr:cNvPr id="21" name="Picture 20">
          <a:extLst>
            <a:ext uri="{FF2B5EF4-FFF2-40B4-BE49-F238E27FC236}">
              <a16:creationId xmlns:a16="http://schemas.microsoft.com/office/drawing/2014/main" id="{32EB0C64-F33A-DBED-9A59-1C60189367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09951" y="171450"/>
          <a:ext cx="533400" cy="571500"/>
        </a:xfrm>
        <a:prstGeom prst="rect">
          <a:avLst/>
        </a:prstGeom>
      </xdr:spPr>
    </xdr:pic>
    <xdr:clientData/>
  </xdr:twoCellAnchor>
  <xdr:twoCellAnchor editAs="oneCell">
    <xdr:from>
      <xdr:col>8</xdr:col>
      <xdr:colOff>374650</xdr:colOff>
      <xdr:row>0</xdr:row>
      <xdr:rowOff>177800</xdr:rowOff>
    </xdr:from>
    <xdr:to>
      <xdr:col>9</xdr:col>
      <xdr:colOff>482600</xdr:colOff>
      <xdr:row>3</xdr:row>
      <xdr:rowOff>146050</xdr:rowOff>
    </xdr:to>
    <xdr:pic>
      <xdr:nvPicPr>
        <xdr:cNvPr id="23" name="Picture 22">
          <a:extLst>
            <a:ext uri="{FF2B5EF4-FFF2-40B4-BE49-F238E27FC236}">
              <a16:creationId xmlns:a16="http://schemas.microsoft.com/office/drawing/2014/main" id="{34149787-A821-B7AD-CA2A-CBA44ECCBAB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51450" y="177800"/>
          <a:ext cx="717550" cy="520700"/>
        </a:xfrm>
        <a:prstGeom prst="rect">
          <a:avLst/>
        </a:prstGeom>
      </xdr:spPr>
    </xdr:pic>
    <xdr:clientData/>
  </xdr:twoCellAnchor>
  <xdr:twoCellAnchor editAs="oneCell">
    <xdr:from>
      <xdr:col>12</xdr:col>
      <xdr:colOff>120650</xdr:colOff>
      <xdr:row>0</xdr:row>
      <xdr:rowOff>146050</xdr:rowOff>
    </xdr:from>
    <xdr:to>
      <xdr:col>13</xdr:col>
      <xdr:colOff>495300</xdr:colOff>
      <xdr:row>4</xdr:row>
      <xdr:rowOff>12700</xdr:rowOff>
    </xdr:to>
    <xdr:pic>
      <xdr:nvPicPr>
        <xdr:cNvPr id="25" name="Picture 24">
          <a:extLst>
            <a:ext uri="{FF2B5EF4-FFF2-40B4-BE49-F238E27FC236}">
              <a16:creationId xmlns:a16="http://schemas.microsoft.com/office/drawing/2014/main" id="{4E010325-31BA-B466-13C1-188CA67D82E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435850" y="146050"/>
          <a:ext cx="977900" cy="603250"/>
        </a:xfrm>
        <a:prstGeom prst="rect">
          <a:avLst/>
        </a:prstGeom>
      </xdr:spPr>
    </xdr:pic>
    <xdr:clientData/>
  </xdr:twoCellAnchor>
  <xdr:twoCellAnchor>
    <xdr:from>
      <xdr:col>10</xdr:col>
      <xdr:colOff>101600</xdr:colOff>
      <xdr:row>1</xdr:row>
      <xdr:rowOff>6350</xdr:rowOff>
    </xdr:from>
    <xdr:to>
      <xdr:col>12</xdr:col>
      <xdr:colOff>241300</xdr:colOff>
      <xdr:row>2</xdr:row>
      <xdr:rowOff>44450</xdr:rowOff>
    </xdr:to>
    <xdr:sp macro="" textlink="'sales analysis'!B10">
      <xdr:nvSpPr>
        <xdr:cNvPr id="26" name="TextBox 25">
          <a:extLst>
            <a:ext uri="{FF2B5EF4-FFF2-40B4-BE49-F238E27FC236}">
              <a16:creationId xmlns:a16="http://schemas.microsoft.com/office/drawing/2014/main" id="{B4E1A9B8-DF5E-4D0B-9B44-29AC477CF7C0}"/>
            </a:ext>
          </a:extLst>
        </xdr:cNvPr>
        <xdr:cNvSpPr txBox="1"/>
      </xdr:nvSpPr>
      <xdr:spPr>
        <a:xfrm>
          <a:off x="6197600" y="190500"/>
          <a:ext cx="1358900" cy="222250"/>
        </a:xfrm>
        <a:prstGeom prst="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2700000" scaled="1"/>
          <a:tileRect/>
        </a:gradFill>
        <a:ln>
          <a:noFill/>
        </a:ln>
        <a:effectLst>
          <a:outerShdw blurRad="40000" dist="20000" dir="5400000" rotWithShape="0">
            <a:srgbClr val="000000">
              <a:alpha val="38000"/>
            </a:srgbClr>
          </a:outerShdw>
          <a:softEdge rad="12700"/>
        </a:effectLst>
        <a:scene3d>
          <a:camera prst="orthographicFront">
            <a:rot lat="0" lon="600000" rev="0"/>
          </a:camera>
          <a:lightRig rig="threePt" dir="t"/>
        </a:scene3d>
      </xdr:spPr>
      <xdr:style>
        <a:lnRef idx="1">
          <a:schemeClr val="accent3"/>
        </a:lnRef>
        <a:fillRef idx="2">
          <a:schemeClr val="accent3"/>
        </a:fillRef>
        <a:effectRef idx="1">
          <a:schemeClr val="accent3"/>
        </a:effectRef>
        <a:fontRef idx="minor">
          <a:schemeClr val="dk1"/>
        </a:fontRef>
      </xdr:style>
      <xdr:txBody>
        <a:bodyPr vertOverflow="clip" horzOverflow="clip" wrap="square" lIns="0" tIns="0" rIns="0" bIns="0" rtlCol="0" anchor="t"/>
        <a:lstStyle/>
        <a:p>
          <a:pPr algn="ctr"/>
          <a:r>
            <a:rPr lang="en-IN" sz="1200"/>
            <a:t>Profit%</a:t>
          </a:r>
        </a:p>
      </xdr:txBody>
    </xdr:sp>
    <xdr:clientData/>
  </xdr:twoCellAnchor>
  <xdr:twoCellAnchor>
    <xdr:from>
      <xdr:col>9</xdr:col>
      <xdr:colOff>381000</xdr:colOff>
      <xdr:row>2</xdr:row>
      <xdr:rowOff>101600</xdr:rowOff>
    </xdr:from>
    <xdr:to>
      <xdr:col>11</xdr:col>
      <xdr:colOff>520700</xdr:colOff>
      <xdr:row>4</xdr:row>
      <xdr:rowOff>69850</xdr:rowOff>
    </xdr:to>
    <xdr:sp macro="" textlink="'profit analysis'!D10">
      <xdr:nvSpPr>
        <xdr:cNvPr id="27" name="TextBox 26">
          <a:extLst>
            <a:ext uri="{FF2B5EF4-FFF2-40B4-BE49-F238E27FC236}">
              <a16:creationId xmlns:a16="http://schemas.microsoft.com/office/drawing/2014/main" id="{D9E20740-53D2-478F-ADF7-74B87E0D128C}"/>
            </a:ext>
          </a:extLst>
        </xdr:cNvPr>
        <xdr:cNvSpPr txBox="1"/>
      </xdr:nvSpPr>
      <xdr:spPr>
        <a:xfrm>
          <a:off x="5867400" y="469900"/>
          <a:ext cx="135890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a:t>34%</a:t>
          </a:r>
        </a:p>
      </xdr:txBody>
    </xdr:sp>
    <xdr:clientData/>
  </xdr:twoCellAnchor>
  <xdr:twoCellAnchor>
    <xdr:from>
      <xdr:col>3</xdr:col>
      <xdr:colOff>184150</xdr:colOff>
      <xdr:row>6</xdr:row>
      <xdr:rowOff>69850</xdr:rowOff>
    </xdr:from>
    <xdr:to>
      <xdr:col>6</xdr:col>
      <xdr:colOff>101600</xdr:colOff>
      <xdr:row>13</xdr:row>
      <xdr:rowOff>95250</xdr:rowOff>
    </xdr:to>
    <xdr:graphicFrame macro="">
      <xdr:nvGraphicFramePr>
        <xdr:cNvPr id="29" name="Chart 28">
          <a:extLst>
            <a:ext uri="{FF2B5EF4-FFF2-40B4-BE49-F238E27FC236}">
              <a16:creationId xmlns:a16="http://schemas.microsoft.com/office/drawing/2014/main" id="{ADF7C5FE-28C8-4045-97D6-B6FD045795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273050</xdr:colOff>
      <xdr:row>5</xdr:row>
      <xdr:rowOff>88900</xdr:rowOff>
    </xdr:from>
    <xdr:to>
      <xdr:col>5</xdr:col>
      <xdr:colOff>412750</xdr:colOff>
      <xdr:row>6</xdr:row>
      <xdr:rowOff>127000</xdr:rowOff>
    </xdr:to>
    <xdr:sp macro="" textlink="'sales analysis'!B10">
      <xdr:nvSpPr>
        <xdr:cNvPr id="30" name="TextBox 29">
          <a:extLst>
            <a:ext uri="{FF2B5EF4-FFF2-40B4-BE49-F238E27FC236}">
              <a16:creationId xmlns:a16="http://schemas.microsoft.com/office/drawing/2014/main" id="{BD345433-4437-4306-8C49-70D8FE853CAC}"/>
            </a:ext>
          </a:extLst>
        </xdr:cNvPr>
        <xdr:cNvSpPr txBox="1"/>
      </xdr:nvSpPr>
      <xdr:spPr>
        <a:xfrm>
          <a:off x="2101850" y="1009650"/>
          <a:ext cx="1358900" cy="222250"/>
        </a:xfrm>
        <a:prstGeom prst="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50000" t="50000" r="50000" b="50000"/>
          </a:path>
          <a:tileRect/>
        </a:gradFill>
        <a:ln>
          <a:noFill/>
        </a:ln>
        <a:effectLst>
          <a:outerShdw blurRad="40000" dist="20000" dir="5400000" rotWithShape="0">
            <a:srgbClr val="000000">
              <a:alpha val="38000"/>
            </a:srgbClr>
          </a:outerShdw>
          <a:softEdge rad="12700"/>
        </a:effectLst>
        <a:scene3d>
          <a:camera prst="orthographicFront">
            <a:rot lat="0" lon="600000" rev="0"/>
          </a:camera>
          <a:lightRig rig="threePt" dir="t"/>
        </a:scene3d>
      </xdr:spPr>
      <xdr:style>
        <a:lnRef idx="1">
          <a:schemeClr val="accent3"/>
        </a:lnRef>
        <a:fillRef idx="2">
          <a:schemeClr val="accent3"/>
        </a:fillRef>
        <a:effectRef idx="1">
          <a:schemeClr val="accent3"/>
        </a:effectRef>
        <a:fontRef idx="minor">
          <a:schemeClr val="dk1"/>
        </a:fontRef>
      </xdr:style>
      <xdr:txBody>
        <a:bodyPr vertOverflow="clip" horzOverflow="clip" wrap="square" lIns="0" tIns="0" rIns="0" bIns="0" rtlCol="0" anchor="t"/>
        <a:lstStyle/>
        <a:p>
          <a:pPr algn="ctr"/>
          <a:r>
            <a:rPr lang="en-IN" sz="1200"/>
            <a:t>Region</a:t>
          </a:r>
          <a:r>
            <a:rPr lang="en-IN" sz="1200" baseline="0"/>
            <a:t> Wise Revenue</a:t>
          </a:r>
          <a:endParaRPr lang="en-IN" sz="1200"/>
        </a:p>
      </xdr:txBody>
    </xdr:sp>
    <xdr:clientData/>
  </xdr:twoCellAnchor>
  <xdr:twoCellAnchor>
    <xdr:from>
      <xdr:col>6</xdr:col>
      <xdr:colOff>196850</xdr:colOff>
      <xdr:row>5</xdr:row>
      <xdr:rowOff>44450</xdr:rowOff>
    </xdr:from>
    <xdr:to>
      <xdr:col>9</xdr:col>
      <xdr:colOff>514350</xdr:colOff>
      <xdr:row>14</xdr:row>
      <xdr:rowOff>38100</xdr:rowOff>
    </xdr:to>
    <xdr:graphicFrame macro="">
      <xdr:nvGraphicFramePr>
        <xdr:cNvPr id="31" name="Chart 30">
          <a:extLst>
            <a:ext uri="{FF2B5EF4-FFF2-40B4-BE49-F238E27FC236}">
              <a16:creationId xmlns:a16="http://schemas.microsoft.com/office/drawing/2014/main" id="{12A012F2-DBAA-4C87-908E-BFC51B7ED6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431248</xdr:colOff>
      <xdr:row>5</xdr:row>
      <xdr:rowOff>28437</xdr:rowOff>
    </xdr:from>
    <xdr:to>
      <xdr:col>8</xdr:col>
      <xdr:colOff>570948</xdr:colOff>
      <xdr:row>6</xdr:row>
      <xdr:rowOff>66537</xdr:rowOff>
    </xdr:to>
    <xdr:sp macro="" textlink="'sales analysis'!B10">
      <xdr:nvSpPr>
        <xdr:cNvPr id="32" name="TextBox 31">
          <a:extLst>
            <a:ext uri="{FF2B5EF4-FFF2-40B4-BE49-F238E27FC236}">
              <a16:creationId xmlns:a16="http://schemas.microsoft.com/office/drawing/2014/main" id="{C543DCB6-BBB6-43AA-9E9E-E3D4060081D8}"/>
            </a:ext>
          </a:extLst>
        </xdr:cNvPr>
        <xdr:cNvSpPr txBox="1"/>
      </xdr:nvSpPr>
      <xdr:spPr>
        <a:xfrm>
          <a:off x="4075596" y="960230"/>
          <a:ext cx="1354482" cy="224459"/>
        </a:xfrm>
        <a:prstGeom prst="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50000" t="50000" r="50000" b="50000"/>
          </a:path>
          <a:tileRect/>
        </a:gradFill>
        <a:ln>
          <a:noFill/>
        </a:ln>
        <a:effectLst>
          <a:outerShdw blurRad="40000" dist="20000" dir="5400000" rotWithShape="0">
            <a:srgbClr val="000000">
              <a:alpha val="38000"/>
            </a:srgbClr>
          </a:outerShdw>
          <a:softEdge rad="12700"/>
        </a:effectLst>
        <a:scene3d>
          <a:camera prst="orthographicFront">
            <a:rot lat="0" lon="600000" rev="0"/>
          </a:camera>
          <a:lightRig rig="threePt" dir="t"/>
        </a:scene3d>
      </xdr:spPr>
      <xdr:style>
        <a:lnRef idx="1">
          <a:schemeClr val="accent3"/>
        </a:lnRef>
        <a:fillRef idx="2">
          <a:schemeClr val="accent3"/>
        </a:fillRef>
        <a:effectRef idx="1">
          <a:schemeClr val="accent3"/>
        </a:effectRef>
        <a:fontRef idx="minor">
          <a:schemeClr val="dk1"/>
        </a:fontRef>
      </xdr:style>
      <xdr:txBody>
        <a:bodyPr vertOverflow="clip" horzOverflow="clip" wrap="square" lIns="0" tIns="0" rIns="0" bIns="0" rtlCol="0" anchor="t"/>
        <a:lstStyle/>
        <a:p>
          <a:pPr algn="ctr"/>
          <a:r>
            <a:rPr lang="en-IN" sz="1200"/>
            <a:t>Stock</a:t>
          </a:r>
          <a:r>
            <a:rPr lang="en-IN" sz="1200" baseline="0"/>
            <a:t> Movement</a:t>
          </a:r>
          <a:endParaRPr lang="en-IN" sz="1200"/>
        </a:p>
      </xdr:txBody>
    </xdr:sp>
    <xdr:clientData/>
  </xdr:twoCellAnchor>
  <xdr:twoCellAnchor>
    <xdr:from>
      <xdr:col>9</xdr:col>
      <xdr:colOff>520700</xdr:colOff>
      <xdr:row>5</xdr:row>
      <xdr:rowOff>88900</xdr:rowOff>
    </xdr:from>
    <xdr:to>
      <xdr:col>14</xdr:col>
      <xdr:colOff>63500</xdr:colOff>
      <xdr:row>12</xdr:row>
      <xdr:rowOff>31750</xdr:rowOff>
    </xdr:to>
    <xdr:graphicFrame macro="">
      <xdr:nvGraphicFramePr>
        <xdr:cNvPr id="33" name="Chart 32">
          <a:extLst>
            <a:ext uri="{FF2B5EF4-FFF2-40B4-BE49-F238E27FC236}">
              <a16:creationId xmlns:a16="http://schemas.microsoft.com/office/drawing/2014/main" id="{82983921-90F2-4AD8-85BE-EA63B0B034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589998</xdr:colOff>
      <xdr:row>5</xdr:row>
      <xdr:rowOff>68194</xdr:rowOff>
    </xdr:from>
    <xdr:to>
      <xdr:col>12</xdr:col>
      <xdr:colOff>120098</xdr:colOff>
      <xdr:row>6</xdr:row>
      <xdr:rowOff>106294</xdr:rowOff>
    </xdr:to>
    <xdr:sp macro="" textlink="'sales analysis'!B10">
      <xdr:nvSpPr>
        <xdr:cNvPr id="34" name="TextBox 33">
          <a:extLst>
            <a:ext uri="{FF2B5EF4-FFF2-40B4-BE49-F238E27FC236}">
              <a16:creationId xmlns:a16="http://schemas.microsoft.com/office/drawing/2014/main" id="{E44FF667-06B9-4A97-9266-327297A59374}"/>
            </a:ext>
          </a:extLst>
        </xdr:cNvPr>
        <xdr:cNvSpPr txBox="1"/>
      </xdr:nvSpPr>
      <xdr:spPr>
        <a:xfrm>
          <a:off x="6056520" y="999987"/>
          <a:ext cx="1352274" cy="224459"/>
        </a:xfrm>
        <a:prstGeom prst="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50000" t="50000" r="50000" b="50000"/>
          </a:path>
          <a:tileRect/>
        </a:gradFill>
        <a:ln>
          <a:noFill/>
        </a:ln>
        <a:effectLst>
          <a:outerShdw blurRad="40000" dist="20000" dir="5400000" rotWithShape="0">
            <a:srgbClr val="000000">
              <a:alpha val="38000"/>
            </a:srgbClr>
          </a:outerShdw>
          <a:softEdge rad="12700"/>
        </a:effectLst>
        <a:scene3d>
          <a:camera prst="orthographicFront">
            <a:rot lat="0" lon="600000" rev="0"/>
          </a:camera>
          <a:lightRig rig="threePt" dir="t"/>
        </a:scene3d>
      </xdr:spPr>
      <xdr:style>
        <a:lnRef idx="1">
          <a:schemeClr val="accent3"/>
        </a:lnRef>
        <a:fillRef idx="2">
          <a:schemeClr val="accent3"/>
        </a:fillRef>
        <a:effectRef idx="1">
          <a:schemeClr val="accent3"/>
        </a:effectRef>
        <a:fontRef idx="minor">
          <a:schemeClr val="dk1"/>
        </a:fontRef>
      </xdr:style>
      <xdr:txBody>
        <a:bodyPr vertOverflow="clip" horzOverflow="clip" wrap="square" lIns="0" tIns="0" rIns="0" bIns="0" rtlCol="0" anchor="t"/>
        <a:lstStyle/>
        <a:p>
          <a:pPr algn="ctr"/>
          <a:r>
            <a:rPr lang="en-IN" sz="1200"/>
            <a:t>Profit%</a:t>
          </a:r>
          <a:r>
            <a:rPr lang="en-IN" sz="1200" baseline="0"/>
            <a:t> month wise</a:t>
          </a:r>
          <a:endParaRPr lang="en-IN" sz="1200"/>
        </a:p>
      </xdr:txBody>
    </xdr:sp>
    <xdr:clientData/>
  </xdr:twoCellAnchor>
  <xdr:twoCellAnchor>
    <xdr:from>
      <xdr:col>0</xdr:col>
      <xdr:colOff>50800</xdr:colOff>
      <xdr:row>0</xdr:row>
      <xdr:rowOff>88900</xdr:rowOff>
    </xdr:from>
    <xdr:to>
      <xdr:col>14</xdr:col>
      <xdr:colOff>345109</xdr:colOff>
      <xdr:row>20</xdr:row>
      <xdr:rowOff>82550</xdr:rowOff>
    </xdr:to>
    <xdr:grpSp>
      <xdr:nvGrpSpPr>
        <xdr:cNvPr id="43" name="Group 42">
          <a:extLst>
            <a:ext uri="{FF2B5EF4-FFF2-40B4-BE49-F238E27FC236}">
              <a16:creationId xmlns:a16="http://schemas.microsoft.com/office/drawing/2014/main" id="{7ED68A08-CFD7-741A-677E-36D20F65E85F}"/>
            </a:ext>
          </a:extLst>
        </xdr:cNvPr>
        <xdr:cNvGrpSpPr/>
      </xdr:nvGrpSpPr>
      <xdr:grpSpPr>
        <a:xfrm>
          <a:off x="50800" y="88900"/>
          <a:ext cx="8799256" cy="3641522"/>
          <a:chOff x="50800" y="88900"/>
          <a:chExt cx="8789198" cy="3662539"/>
        </a:xfrm>
      </xdr:grpSpPr>
      <xdr:sp macro="" textlink="">
        <xdr:nvSpPr>
          <xdr:cNvPr id="2" name="Rectangle: Rounded Corners 1">
            <a:extLst>
              <a:ext uri="{FF2B5EF4-FFF2-40B4-BE49-F238E27FC236}">
                <a16:creationId xmlns:a16="http://schemas.microsoft.com/office/drawing/2014/main" id="{7C1DD664-1B2C-DC21-A4EC-55C6930F62F7}"/>
              </a:ext>
            </a:extLst>
          </xdr:cNvPr>
          <xdr:cNvSpPr/>
        </xdr:nvSpPr>
        <xdr:spPr>
          <a:xfrm>
            <a:off x="50800" y="88900"/>
            <a:ext cx="1915583" cy="3662539"/>
          </a:xfrm>
          <a:prstGeom prst="roundRect">
            <a:avLst>
              <a:gd name="adj" fmla="val 7426"/>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Rounded Corners 2">
            <a:extLst>
              <a:ext uri="{FF2B5EF4-FFF2-40B4-BE49-F238E27FC236}">
                <a16:creationId xmlns:a16="http://schemas.microsoft.com/office/drawing/2014/main" id="{B7F51905-88FB-4DB1-854C-2EC5323E1B2F}"/>
              </a:ext>
            </a:extLst>
          </xdr:cNvPr>
          <xdr:cNvSpPr/>
        </xdr:nvSpPr>
        <xdr:spPr>
          <a:xfrm>
            <a:off x="2023533" y="120650"/>
            <a:ext cx="1915584" cy="676628"/>
          </a:xfrm>
          <a:prstGeom prst="roundRect">
            <a:avLst>
              <a:gd name="adj" fmla="val 7426"/>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Rounded Corners 4">
            <a:extLst>
              <a:ext uri="{FF2B5EF4-FFF2-40B4-BE49-F238E27FC236}">
                <a16:creationId xmlns:a16="http://schemas.microsoft.com/office/drawing/2014/main" id="{E4662A99-9EFD-444C-A91B-76AB88BFC23F}"/>
              </a:ext>
            </a:extLst>
          </xdr:cNvPr>
          <xdr:cNvSpPr/>
        </xdr:nvSpPr>
        <xdr:spPr>
          <a:xfrm>
            <a:off x="6143978" y="127000"/>
            <a:ext cx="2477911" cy="682978"/>
          </a:xfrm>
          <a:prstGeom prst="roundRect">
            <a:avLst>
              <a:gd name="adj" fmla="val 7426"/>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BDCD42D4-06ED-4C55-96E6-796F1A8F80E4}"/>
              </a:ext>
            </a:extLst>
          </xdr:cNvPr>
          <xdr:cNvSpPr/>
        </xdr:nvSpPr>
        <xdr:spPr>
          <a:xfrm>
            <a:off x="3989917" y="120650"/>
            <a:ext cx="2103261" cy="676628"/>
          </a:xfrm>
          <a:prstGeom prst="roundRect">
            <a:avLst>
              <a:gd name="adj" fmla="val 7426"/>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E242FBB4-B852-4EBB-B5EF-B4D020C664EB}"/>
              </a:ext>
            </a:extLst>
          </xdr:cNvPr>
          <xdr:cNvSpPr/>
        </xdr:nvSpPr>
        <xdr:spPr>
          <a:xfrm>
            <a:off x="2029883" y="848078"/>
            <a:ext cx="1915584" cy="1499305"/>
          </a:xfrm>
          <a:prstGeom prst="roundRect">
            <a:avLst>
              <a:gd name="adj" fmla="val 7426"/>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33DB4AFA-15E5-4B1D-8FE2-68C29F16CB18}"/>
              </a:ext>
            </a:extLst>
          </xdr:cNvPr>
          <xdr:cNvSpPr/>
        </xdr:nvSpPr>
        <xdr:spPr>
          <a:xfrm>
            <a:off x="5962650" y="860778"/>
            <a:ext cx="2684639" cy="1473905"/>
          </a:xfrm>
          <a:prstGeom prst="roundRect">
            <a:avLst>
              <a:gd name="adj" fmla="val 7426"/>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C0DA02AC-1CC5-4D7D-BF70-C6BF4CEE9DE7}"/>
              </a:ext>
            </a:extLst>
          </xdr:cNvPr>
          <xdr:cNvSpPr/>
        </xdr:nvSpPr>
        <xdr:spPr>
          <a:xfrm>
            <a:off x="2036233" y="2391128"/>
            <a:ext cx="2970389" cy="1341261"/>
          </a:xfrm>
          <a:prstGeom prst="roundRect">
            <a:avLst>
              <a:gd name="adj" fmla="val 7426"/>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6" name="Chart 35">
            <a:extLst>
              <a:ext uri="{FF2B5EF4-FFF2-40B4-BE49-F238E27FC236}">
                <a16:creationId xmlns:a16="http://schemas.microsoft.com/office/drawing/2014/main" id="{725DD088-532F-4B5F-86A3-2C856F8462F3}"/>
              </a:ext>
            </a:extLst>
          </xdr:cNvPr>
          <xdr:cNvGraphicFramePr>
            <a:graphicFrameLocks/>
          </xdr:cNvGraphicFramePr>
        </xdr:nvGraphicFramePr>
        <xdr:xfrm>
          <a:off x="5171723" y="2387690"/>
          <a:ext cx="3668275" cy="1308807"/>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8</xdr:col>
      <xdr:colOff>279954</xdr:colOff>
      <xdr:row>13</xdr:row>
      <xdr:rowOff>62286</xdr:rowOff>
    </xdr:from>
    <xdr:to>
      <xdr:col>11</xdr:col>
      <xdr:colOff>469349</xdr:colOff>
      <xdr:row>14</xdr:row>
      <xdr:rowOff>48757</xdr:rowOff>
    </xdr:to>
    <xdr:sp macro="" textlink="'sales analysis'!B10">
      <xdr:nvSpPr>
        <xdr:cNvPr id="37" name="TextBox 36">
          <a:extLst>
            <a:ext uri="{FF2B5EF4-FFF2-40B4-BE49-F238E27FC236}">
              <a16:creationId xmlns:a16="http://schemas.microsoft.com/office/drawing/2014/main" id="{8E0F13CB-B91D-4773-AAD6-1AA5E1A47C3F}"/>
            </a:ext>
          </a:extLst>
        </xdr:cNvPr>
        <xdr:cNvSpPr txBox="1"/>
      </xdr:nvSpPr>
      <xdr:spPr>
        <a:xfrm>
          <a:off x="5143784" y="2433403"/>
          <a:ext cx="2013331" cy="168865"/>
        </a:xfrm>
        <a:prstGeom prst="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50000" t="50000" r="50000" b="50000"/>
          </a:path>
          <a:tileRect/>
        </a:gradFill>
        <a:ln>
          <a:noFill/>
        </a:ln>
        <a:effectLst>
          <a:outerShdw blurRad="40000" dist="20000" dir="5400000" rotWithShape="0">
            <a:srgbClr val="000000">
              <a:alpha val="38000"/>
            </a:srgbClr>
          </a:outerShdw>
          <a:softEdge rad="12700"/>
        </a:effectLst>
        <a:scene3d>
          <a:camera prst="orthographicFront">
            <a:rot lat="0" lon="600000" rev="0"/>
          </a:camera>
          <a:lightRig rig="threePt" dir="t"/>
        </a:scene3d>
      </xdr:spPr>
      <xdr:style>
        <a:lnRef idx="1">
          <a:schemeClr val="accent3"/>
        </a:lnRef>
        <a:fillRef idx="2">
          <a:schemeClr val="accent3"/>
        </a:fillRef>
        <a:effectRef idx="1">
          <a:schemeClr val="accent3"/>
        </a:effectRef>
        <a:fontRef idx="minor">
          <a:schemeClr val="dk1"/>
        </a:fontRef>
      </xdr:style>
      <xdr:txBody>
        <a:bodyPr vertOverflow="clip" horzOverflow="clip" wrap="square" lIns="0" tIns="0" rIns="0" bIns="0" rtlCol="0" anchor="t"/>
        <a:lstStyle/>
        <a:p>
          <a:pPr algn="ctr"/>
          <a:r>
            <a:rPr lang="en-IN" sz="1200" baseline="0"/>
            <a:t>Stock Movement Product Wise</a:t>
          </a:r>
          <a:endParaRPr lang="en-IN" sz="1200"/>
        </a:p>
      </xdr:txBody>
    </xdr:sp>
    <xdr:clientData/>
  </xdr:twoCellAnchor>
  <xdr:twoCellAnchor>
    <xdr:from>
      <xdr:col>3</xdr:col>
      <xdr:colOff>248478</xdr:colOff>
      <xdr:row>12</xdr:row>
      <xdr:rowOff>131141</xdr:rowOff>
    </xdr:from>
    <xdr:to>
      <xdr:col>8</xdr:col>
      <xdr:colOff>55218</xdr:colOff>
      <xdr:row>20</xdr:row>
      <xdr:rowOff>41412</xdr:rowOff>
    </xdr:to>
    <xdr:graphicFrame macro="">
      <xdr:nvGraphicFramePr>
        <xdr:cNvPr id="38" name="Chart 37">
          <a:extLst>
            <a:ext uri="{FF2B5EF4-FFF2-40B4-BE49-F238E27FC236}">
              <a16:creationId xmlns:a16="http://schemas.microsoft.com/office/drawing/2014/main" id="{C016CFC9-146C-4DCE-98BD-82BE267850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273604</xdr:colOff>
      <xdr:row>13</xdr:row>
      <xdr:rowOff>62397</xdr:rowOff>
    </xdr:from>
    <xdr:to>
      <xdr:col>6</xdr:col>
      <xdr:colOff>462999</xdr:colOff>
      <xdr:row>14</xdr:row>
      <xdr:rowOff>48868</xdr:rowOff>
    </xdr:to>
    <xdr:sp macro="" textlink="'sales analysis'!B10">
      <xdr:nvSpPr>
        <xdr:cNvPr id="39" name="TextBox 38">
          <a:extLst>
            <a:ext uri="{FF2B5EF4-FFF2-40B4-BE49-F238E27FC236}">
              <a16:creationId xmlns:a16="http://schemas.microsoft.com/office/drawing/2014/main" id="{A535AC8B-6D5D-48E8-89FA-B07D3F0EE1BD}"/>
            </a:ext>
          </a:extLst>
        </xdr:cNvPr>
        <xdr:cNvSpPr txBox="1"/>
      </xdr:nvSpPr>
      <xdr:spPr>
        <a:xfrm>
          <a:off x="2095778" y="2485060"/>
          <a:ext cx="2011569" cy="172830"/>
        </a:xfrm>
        <a:prstGeom prst="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50000" t="50000" r="50000" b="50000"/>
          </a:path>
          <a:tileRect/>
        </a:gradFill>
        <a:ln>
          <a:noFill/>
        </a:ln>
        <a:effectLst>
          <a:outerShdw blurRad="40000" dist="20000" dir="5400000" rotWithShape="0">
            <a:srgbClr val="000000">
              <a:alpha val="38000"/>
            </a:srgbClr>
          </a:outerShdw>
          <a:softEdge rad="12700"/>
        </a:effectLst>
        <a:scene3d>
          <a:camera prst="orthographicFront">
            <a:rot lat="0" lon="600000" rev="0"/>
          </a:camera>
          <a:lightRig rig="threePt" dir="t"/>
        </a:scene3d>
      </xdr:spPr>
      <xdr:style>
        <a:lnRef idx="1">
          <a:schemeClr val="accent3"/>
        </a:lnRef>
        <a:fillRef idx="2">
          <a:schemeClr val="accent3"/>
        </a:fillRef>
        <a:effectRef idx="1">
          <a:schemeClr val="accent3"/>
        </a:effectRef>
        <a:fontRef idx="minor">
          <a:schemeClr val="dk1"/>
        </a:fontRef>
      </xdr:style>
      <xdr:txBody>
        <a:bodyPr vertOverflow="clip" horzOverflow="clip" wrap="square" lIns="0" tIns="0" rIns="0" bIns="0" rtlCol="0" anchor="t"/>
        <a:lstStyle/>
        <a:p>
          <a:pPr algn="ctr"/>
          <a:r>
            <a:rPr lang="en-IN" sz="1200" baseline="0"/>
            <a:t>Total Revenue Product Wise</a:t>
          </a:r>
          <a:endParaRPr lang="en-IN" sz="1200"/>
        </a:p>
      </xdr:txBody>
    </xdr:sp>
    <xdr:clientData/>
  </xdr:twoCellAnchor>
  <xdr:twoCellAnchor editAs="oneCell">
    <xdr:from>
      <xdr:col>0</xdr:col>
      <xdr:colOff>110435</xdr:colOff>
      <xdr:row>1</xdr:row>
      <xdr:rowOff>13804</xdr:rowOff>
    </xdr:from>
    <xdr:to>
      <xdr:col>3</xdr:col>
      <xdr:colOff>41413</xdr:colOff>
      <xdr:row>9</xdr:row>
      <xdr:rowOff>165652</xdr:rowOff>
    </xdr:to>
    <mc:AlternateContent xmlns:mc="http://schemas.openxmlformats.org/markup-compatibility/2006" xmlns:a14="http://schemas.microsoft.com/office/drawing/2010/main">
      <mc:Choice Requires="a14">
        <xdr:graphicFrame macro="">
          <xdr:nvGraphicFramePr>
            <xdr:cNvPr id="40" name="Supplier">
              <a:extLst>
                <a:ext uri="{FF2B5EF4-FFF2-40B4-BE49-F238E27FC236}">
                  <a16:creationId xmlns:a16="http://schemas.microsoft.com/office/drawing/2014/main" id="{51E6B008-C317-4610-8007-4FED3B6EC2B8}"/>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mlns="">
        <xdr:sp macro="" textlink="">
          <xdr:nvSpPr>
            <xdr:cNvPr id="0" name=""/>
            <xdr:cNvSpPr>
              <a:spLocks noTextEdit="1"/>
            </xdr:cNvSpPr>
          </xdr:nvSpPr>
          <xdr:spPr>
            <a:xfrm>
              <a:off x="110435" y="197248"/>
              <a:ext cx="1751311" cy="16194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151849</xdr:colOff>
      <xdr:row>8</xdr:row>
      <xdr:rowOff>144946</xdr:rowOff>
    </xdr:from>
    <xdr:to>
      <xdr:col>2</xdr:col>
      <xdr:colOff>517664</xdr:colOff>
      <xdr:row>15</xdr:row>
      <xdr:rowOff>96632</xdr:rowOff>
    </xdr:to>
    <mc:AlternateContent xmlns:mc="http://schemas.openxmlformats.org/markup-compatibility/2006" xmlns:a14="http://schemas.microsoft.com/office/drawing/2010/main">
      <mc:Choice Requires="a14">
        <xdr:graphicFrame macro="">
          <xdr:nvGraphicFramePr>
            <xdr:cNvPr id="41" name="Column1">
              <a:extLst>
                <a:ext uri="{FF2B5EF4-FFF2-40B4-BE49-F238E27FC236}">
                  <a16:creationId xmlns:a16="http://schemas.microsoft.com/office/drawing/2014/main" id="{581C5E6B-CC96-4FF0-9D13-A4D565C44B38}"/>
                </a:ext>
              </a:extLst>
            </xdr:cNvPr>
            <xdr:cNvGraphicFramePr/>
          </xdr:nvGraphicFramePr>
          <xdr:xfrm>
            <a:off x="0" y="0"/>
            <a:ext cx="0" cy="0"/>
          </xdr:xfrm>
          <a:graphic>
            <a:graphicData uri="http://schemas.microsoft.com/office/drawing/2010/slicer">
              <sle:slicer xmlns:sle="http://schemas.microsoft.com/office/drawing/2010/slicer" name="Column1"/>
            </a:graphicData>
          </a:graphic>
        </xdr:graphicFrame>
      </mc:Choice>
      <mc:Fallback xmlns="">
        <xdr:sp macro="" textlink="">
          <xdr:nvSpPr>
            <xdr:cNvPr id="0" name=""/>
            <xdr:cNvSpPr>
              <a:spLocks noTextEdit="1"/>
            </xdr:cNvSpPr>
          </xdr:nvSpPr>
          <xdr:spPr>
            <a:xfrm>
              <a:off x="151849" y="1612502"/>
              <a:ext cx="1579371" cy="12357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172556</xdr:colOff>
      <xdr:row>14</xdr:row>
      <xdr:rowOff>179457</xdr:rowOff>
    </xdr:from>
    <xdr:to>
      <xdr:col>2</xdr:col>
      <xdr:colOff>441739</xdr:colOff>
      <xdr:row>19</xdr:row>
      <xdr:rowOff>151847</xdr:rowOff>
    </xdr:to>
    <mc:AlternateContent xmlns:mc="http://schemas.openxmlformats.org/markup-compatibility/2006" xmlns:a14="http://schemas.microsoft.com/office/drawing/2010/main">
      <mc:Choice Requires="a14">
        <xdr:graphicFrame macro="">
          <xdr:nvGraphicFramePr>
            <xdr:cNvPr id="42" name="Category">
              <a:extLst>
                <a:ext uri="{FF2B5EF4-FFF2-40B4-BE49-F238E27FC236}">
                  <a16:creationId xmlns:a16="http://schemas.microsoft.com/office/drawing/2014/main" id="{BD7B238F-72D1-4977-9037-10B2A5DAF30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72556" y="2747679"/>
              <a:ext cx="1482739" cy="8896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86.919086226852" createdVersion="8" refreshedVersion="8" minRefreshableVersion="3" recordCount="200" xr:uid="{F98C8013-4610-40E6-BBE4-C83737698ADF}">
  <cacheSource type="worksheet">
    <worksheetSource name="Table_2"/>
  </cacheSource>
  <cacheFields count="16">
    <cacheField name="Date" numFmtId="14">
      <sharedItems containsSemiMixedTypes="0" containsNonDate="0" containsDate="1" containsString="0" minDate="2025-01-04T00:00:00" maxDate="2025-07-01T00:00:00" count="119">
        <d v="2025-04-20T00:00:00"/>
        <d v="2025-02-16T00:00:00"/>
        <d v="2025-01-17T00:00:00"/>
        <d v="2025-03-31T00:00:00"/>
        <d v="2025-02-02T00:00:00"/>
        <d v="2025-04-05T00:00:00"/>
        <d v="2025-03-14T00:00:00"/>
        <d v="2025-05-09T00:00:00"/>
        <d v="2025-04-22T00:00:00"/>
        <d v="2025-05-15T00:00:00"/>
        <d v="2025-05-12T00:00:00"/>
        <d v="2025-04-15T00:00:00"/>
        <d v="2025-04-13T00:00:00"/>
        <d v="2025-03-21T00:00:00"/>
        <d v="2025-03-06T00:00:00"/>
        <d v="2025-02-01T00:00:00"/>
        <d v="2025-03-26T00:00:00"/>
        <d v="2025-02-07T00:00:00"/>
        <d v="2025-01-29T00:00:00"/>
        <d v="2025-03-01T00:00:00"/>
        <d v="2025-05-13T00:00:00"/>
        <d v="2025-06-14T00:00:00"/>
        <d v="2025-02-19T00:00:00"/>
        <d v="2025-01-18T00:00:00"/>
        <d v="2025-03-20T00:00:00"/>
        <d v="2025-01-12T00:00:00"/>
        <d v="2025-05-19T00:00:00"/>
        <d v="2025-01-07T00:00:00"/>
        <d v="2025-04-28T00:00:00"/>
        <d v="2025-06-15T00:00:00"/>
        <d v="2025-03-22T00:00:00"/>
        <d v="2025-02-14T00:00:00"/>
        <d v="2025-05-05T00:00:00"/>
        <d v="2025-06-03T00:00:00"/>
        <d v="2025-06-24T00:00:00"/>
        <d v="2025-06-25T00:00:00"/>
        <d v="2025-04-08T00:00:00"/>
        <d v="2025-03-25T00:00:00"/>
        <d v="2025-04-09T00:00:00"/>
        <d v="2025-06-05T00:00:00"/>
        <d v="2025-04-11T00:00:00"/>
        <d v="2025-01-06T00:00:00"/>
        <d v="2025-03-24T00:00:00"/>
        <d v="2025-04-06T00:00:00"/>
        <d v="2025-01-16T00:00:00"/>
        <d v="2025-06-16T00:00:00"/>
        <d v="2025-01-04T00:00:00"/>
        <d v="2025-05-14T00:00:00"/>
        <d v="2025-06-12T00:00:00"/>
        <d v="2025-02-03T00:00:00"/>
        <d v="2025-02-27T00:00:00"/>
        <d v="2025-05-23T00:00:00"/>
        <d v="2025-01-22T00:00:00"/>
        <d v="2025-05-21T00:00:00"/>
        <d v="2025-01-13T00:00:00"/>
        <d v="2025-01-30T00:00:00"/>
        <d v="2025-01-15T00:00:00"/>
        <d v="2025-06-26T00:00:00"/>
        <d v="2025-05-30T00:00:00"/>
        <d v="2025-03-03T00:00:00"/>
        <d v="2025-02-17T00:00:00"/>
        <d v="2025-01-10T00:00:00"/>
        <d v="2025-01-31T00:00:00"/>
        <d v="2025-01-25T00:00:00"/>
        <d v="2025-04-14T00:00:00"/>
        <d v="2025-04-12T00:00:00"/>
        <d v="2025-03-09T00:00:00"/>
        <d v="2025-02-11T00:00:00"/>
        <d v="2025-05-28T00:00:00"/>
        <d v="2025-03-28T00:00:00"/>
        <d v="2025-05-27T00:00:00"/>
        <d v="2025-04-30T00:00:00"/>
        <d v="2025-05-11T00:00:00"/>
        <d v="2025-03-29T00:00:00"/>
        <d v="2025-06-08T00:00:00"/>
        <d v="2025-04-01T00:00:00"/>
        <d v="2025-01-09T00:00:00"/>
        <d v="2025-05-06T00:00:00"/>
        <d v="2025-05-17T00:00:00"/>
        <d v="2025-02-21T00:00:00"/>
        <d v="2025-04-16T00:00:00"/>
        <d v="2025-02-04T00:00:00"/>
        <d v="2025-02-25T00:00:00"/>
        <d v="2025-05-29T00:00:00"/>
        <d v="2025-04-02T00:00:00"/>
        <d v="2025-03-12T00:00:00"/>
        <d v="2025-03-19T00:00:00"/>
        <d v="2025-02-26T00:00:00"/>
        <d v="2025-03-18T00:00:00"/>
        <d v="2025-03-17T00:00:00"/>
        <d v="2025-04-17T00:00:00"/>
        <d v="2025-06-11T00:00:00"/>
        <d v="2025-06-01T00:00:00"/>
        <d v="2025-06-20T00:00:00"/>
        <d v="2025-05-02T00:00:00"/>
        <d v="2025-02-05T00:00:00"/>
        <d v="2025-06-18T00:00:00"/>
        <d v="2025-03-13T00:00:00"/>
        <d v="2025-01-28T00:00:00"/>
        <d v="2025-02-28T00:00:00"/>
        <d v="2025-06-27T00:00:00"/>
        <d v="2025-01-11T00:00:00"/>
        <d v="2025-03-16T00:00:00"/>
        <d v="2025-01-23T00:00:00"/>
        <d v="2025-05-10T00:00:00"/>
        <d v="2025-06-10T00:00:00"/>
        <d v="2025-01-27T00:00:00"/>
        <d v="2025-06-30T00:00:00"/>
        <d v="2025-04-23T00:00:00"/>
        <d v="2025-04-21T00:00:00"/>
        <d v="2025-01-20T00:00:00"/>
        <d v="2025-02-12T00:00:00"/>
        <d v="2025-06-04T00:00:00"/>
        <d v="2025-06-02T00:00:00"/>
        <d v="2025-01-14T00:00:00"/>
        <d v="2025-01-05T00:00:00"/>
        <d v="2025-01-21T00:00:00"/>
        <d v="2025-02-13T00:00:00"/>
        <d v="2025-06-23T00:00:00"/>
      </sharedItems>
      <fieldGroup par="15"/>
    </cacheField>
    <cacheField name="Product" numFmtId="0">
      <sharedItems count="8">
        <s v="Chair"/>
        <s v="Monitor"/>
        <s v="Keyboard"/>
        <s v="Headphones"/>
        <s v="Mouse"/>
        <s v="Laptop"/>
        <s v="Printer"/>
        <s v="Table"/>
      </sharedItems>
    </cacheField>
    <cacheField name="Category" numFmtId="0">
      <sharedItems count="2">
        <s v="Furniture"/>
        <s v="Electronics"/>
      </sharedItems>
    </cacheField>
    <cacheField name="Supplier" numFmtId="0">
      <sharedItems count="4">
        <s v="NextGen Supplies"/>
        <s v="TechSupply Co"/>
        <s v="Prime Distributors"/>
        <s v="Global Traders"/>
      </sharedItems>
    </cacheField>
    <cacheField name="Region" numFmtId="0">
      <sharedItems count="4">
        <s v="West"/>
        <s v="East"/>
        <s v="North"/>
        <s v="South"/>
      </sharedItems>
    </cacheField>
    <cacheField name="Units_Sold" numFmtId="0">
      <sharedItems containsSemiMixedTypes="0" containsString="0" containsNumber="1" containsInteger="1" minValue="5" maxValue="100"/>
    </cacheField>
    <cacheField name="Stock_In" numFmtId="0">
      <sharedItems containsSemiMixedTypes="0" containsString="0" containsNumber="1" containsInteger="1" minValue="20" maxValue="150"/>
    </cacheField>
    <cacheField name="Current_Stock" numFmtId="0">
      <sharedItems containsSemiMixedTypes="0" containsString="0" containsNumber="1" containsInteger="1" minValue="0" maxValue="120"/>
    </cacheField>
    <cacheField name="Cost_Price" numFmtId="0">
      <sharedItems containsSemiMixedTypes="0" containsString="0" containsNumber="1" containsInteger="1" minValue="516" maxValue="49892"/>
    </cacheField>
    <cacheField name="Selling_Price" numFmtId="0">
      <sharedItems containsSemiMixedTypes="0" containsString="0" containsNumber="1" containsInteger="1" minValue="2835" maxValue="58440" count="199">
        <n v="25380"/>
        <n v="6078"/>
        <n v="14127"/>
        <n v="50786"/>
        <n v="45207"/>
        <n v="11931"/>
        <n v="13381"/>
        <n v="53851"/>
        <n v="31533"/>
        <n v="43199"/>
        <n v="11282"/>
        <n v="52556"/>
        <n v="25262"/>
        <n v="11673"/>
        <n v="48634"/>
        <n v="14128"/>
        <n v="16492"/>
        <n v="35297"/>
        <n v="33849"/>
        <n v="39183"/>
        <n v="15761"/>
        <n v="54267"/>
        <n v="26380"/>
        <n v="9602"/>
        <n v="45184"/>
        <n v="42425"/>
        <n v="18470"/>
        <n v="7321"/>
        <n v="17606"/>
        <n v="50728"/>
        <n v="38553"/>
        <n v="46545"/>
        <n v="32738"/>
        <n v="27522"/>
        <n v="17717"/>
        <n v="24084"/>
        <n v="24313"/>
        <n v="21429"/>
        <n v="7389"/>
        <n v="56626"/>
        <n v="8087"/>
        <n v="14897"/>
        <n v="9481"/>
        <n v="13495"/>
        <n v="50950"/>
        <n v="14900"/>
        <n v="52257"/>
        <n v="44006"/>
        <n v="27139"/>
        <n v="43679"/>
        <n v="18051"/>
        <n v="24437"/>
        <n v="46675"/>
        <n v="9115"/>
        <n v="35249"/>
        <n v="17881"/>
        <n v="34472"/>
        <n v="36425"/>
        <n v="35984"/>
        <n v="42180"/>
        <n v="35167"/>
        <n v="12116"/>
        <n v="26490"/>
        <n v="9248"/>
        <n v="49746"/>
        <n v="41340"/>
        <n v="54253"/>
        <n v="8069"/>
        <n v="34680"/>
        <n v="50846"/>
        <n v="22265"/>
        <n v="25314"/>
        <n v="26614"/>
        <n v="39868"/>
        <n v="29332"/>
        <n v="14376"/>
        <n v="49445"/>
        <n v="33313"/>
        <n v="55339"/>
        <n v="46462"/>
        <n v="9973"/>
        <n v="9504"/>
        <n v="40423"/>
        <n v="19249"/>
        <n v="18240"/>
        <n v="34978"/>
        <n v="11086"/>
        <n v="43485"/>
        <n v="20156"/>
        <n v="37674"/>
        <n v="28050"/>
        <n v="22886"/>
        <n v="4799"/>
        <n v="33680"/>
        <n v="19720"/>
        <n v="28550"/>
        <n v="31154"/>
        <n v="43889"/>
        <n v="36794"/>
        <n v="40889"/>
        <n v="11787"/>
        <n v="45475"/>
        <n v="12810"/>
        <n v="38903"/>
        <n v="25366"/>
        <n v="42452"/>
        <n v="36385"/>
        <n v="23812"/>
        <n v="17840"/>
        <n v="7658"/>
        <n v="49557"/>
        <n v="10193"/>
        <n v="44859"/>
        <n v="12215"/>
        <n v="17613"/>
        <n v="12371"/>
        <n v="31563"/>
        <n v="36158"/>
        <n v="35598"/>
        <n v="15255"/>
        <n v="34760"/>
        <n v="44330"/>
        <n v="40414"/>
        <n v="39177"/>
        <n v="16580"/>
        <n v="11924"/>
        <n v="20918"/>
        <n v="31341"/>
        <n v="39666"/>
        <n v="12139"/>
        <n v="20371"/>
        <n v="49459"/>
        <n v="39166"/>
        <n v="8545"/>
        <n v="14704"/>
        <n v="9945"/>
        <n v="41871"/>
        <n v="18513"/>
        <n v="53993"/>
        <n v="22598"/>
        <n v="38204"/>
        <n v="3925"/>
        <n v="52674"/>
        <n v="28689"/>
        <n v="26758"/>
        <n v="56826"/>
        <n v="35875"/>
        <n v="11629"/>
        <n v="45467"/>
        <n v="2835"/>
        <n v="24227"/>
        <n v="23750"/>
        <n v="21844"/>
        <n v="43047"/>
        <n v="44678"/>
        <n v="14831"/>
        <n v="12680"/>
        <n v="55608"/>
        <n v="41328"/>
        <n v="22372"/>
        <n v="9363"/>
        <n v="28663"/>
        <n v="26966"/>
        <n v="15864"/>
        <n v="15018"/>
        <n v="29425"/>
        <n v="14579"/>
        <n v="36618"/>
        <n v="50331"/>
        <n v="46846"/>
        <n v="38804"/>
        <n v="50298"/>
        <n v="14096"/>
        <n v="38736"/>
        <n v="24769"/>
        <n v="15008"/>
        <n v="23427"/>
        <n v="18260"/>
        <n v="18304"/>
        <n v="10003"/>
        <n v="31942"/>
        <n v="45293"/>
        <n v="36772"/>
        <n v="17581"/>
        <n v="44610"/>
        <n v="58440"/>
        <n v="28282"/>
        <n v="10647"/>
        <n v="10716"/>
        <n v="13417"/>
        <n v="17152"/>
        <n v="24528"/>
        <n v="39771"/>
        <n v="19449"/>
        <n v="27410"/>
        <n v="18140"/>
        <n v="43822"/>
        <n v="29155"/>
        <n v="24362"/>
      </sharedItems>
    </cacheField>
    <cacheField name="Total Revenue" numFmtId="0">
      <sharedItems containsSemiMixedTypes="0" containsString="0" containsNumber="1" containsInteger="1" minValue="34020" maxValue="5072800"/>
    </cacheField>
    <cacheField name="Column1" numFmtId="0">
      <sharedItems count="3">
        <s v="Slow Moving"/>
        <s v="Dead Stock"/>
        <s v="Fast Moving"/>
      </sharedItems>
    </cacheField>
    <cacheField name="profit" numFmtId="0" formula="Selling_Price-Cost_Price" databaseField="0"/>
    <cacheField name="profit%" numFmtId="0" formula="profit/'Total Revenue'" databaseField="0"/>
    <cacheField name="Days (Date)" numFmtId="0" databaseField="0">
      <fieldGroup base="0">
        <rangePr groupBy="days" startDate="2025-01-04T00:00:00" endDate="2025-07-01T00:00:00"/>
        <groupItems count="368">
          <s v="&lt;04-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5"/>
        </groupItems>
      </fieldGroup>
    </cacheField>
    <cacheField name="Months (Date)" numFmtId="0" databaseField="0">
      <fieldGroup base="0">
        <rangePr groupBy="months" startDate="2025-01-04T00:00:00" endDate="2025-07-01T00:00:00"/>
        <groupItems count="14">
          <s v="&lt;04-01-2025"/>
          <s v="Jan"/>
          <s v="Feb"/>
          <s v="Mar"/>
          <s v="Apr"/>
          <s v="May"/>
          <s v="Jun"/>
          <s v="Jul"/>
          <s v="Aug"/>
          <s v="Sep"/>
          <s v="Oct"/>
          <s v="Nov"/>
          <s v="Dec"/>
          <s v="&gt;01-07-2025"/>
        </groupItems>
      </fieldGroup>
    </cacheField>
  </cacheFields>
  <extLst>
    <ext xmlns:x14="http://schemas.microsoft.com/office/spreadsheetml/2009/9/main" uri="{725AE2AE-9491-48be-B2B4-4EB974FC3084}">
      <x14:pivotCacheDefinition pivotCacheId="11419542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x v="0"/>
    <x v="0"/>
    <n v="86"/>
    <n v="23"/>
    <n v="108"/>
    <n v="21359"/>
    <x v="0"/>
    <n v="2182680"/>
    <x v="0"/>
  </r>
  <r>
    <x v="1"/>
    <x v="1"/>
    <x v="1"/>
    <x v="1"/>
    <x v="1"/>
    <n v="99"/>
    <n v="62"/>
    <n v="110"/>
    <n v="2233"/>
    <x v="1"/>
    <n v="601722"/>
    <x v="0"/>
  </r>
  <r>
    <x v="2"/>
    <x v="1"/>
    <x v="1"/>
    <x v="2"/>
    <x v="0"/>
    <n v="36"/>
    <n v="107"/>
    <n v="99"/>
    <n v="6245"/>
    <x v="2"/>
    <n v="508572"/>
    <x v="1"/>
  </r>
  <r>
    <x v="3"/>
    <x v="2"/>
    <x v="1"/>
    <x v="1"/>
    <x v="2"/>
    <n v="91"/>
    <n v="138"/>
    <n v="66"/>
    <n v="44120"/>
    <x v="3"/>
    <n v="4621526"/>
    <x v="2"/>
  </r>
  <r>
    <x v="4"/>
    <x v="0"/>
    <x v="0"/>
    <x v="1"/>
    <x v="0"/>
    <n v="62"/>
    <n v="98"/>
    <n v="55"/>
    <n v="43248"/>
    <x v="4"/>
    <n v="2802834"/>
    <x v="2"/>
  </r>
  <r>
    <x v="5"/>
    <x v="3"/>
    <x v="1"/>
    <x v="1"/>
    <x v="2"/>
    <n v="36"/>
    <n v="104"/>
    <n v="117"/>
    <n v="11391"/>
    <x v="5"/>
    <n v="429516"/>
    <x v="1"/>
  </r>
  <r>
    <x v="6"/>
    <x v="1"/>
    <x v="1"/>
    <x v="2"/>
    <x v="2"/>
    <n v="75"/>
    <n v="136"/>
    <n v="2"/>
    <n v="8422"/>
    <x v="6"/>
    <n v="1003575"/>
    <x v="2"/>
  </r>
  <r>
    <x v="7"/>
    <x v="4"/>
    <x v="1"/>
    <x v="1"/>
    <x v="1"/>
    <n v="29"/>
    <n v="35"/>
    <n v="51"/>
    <n v="45845"/>
    <x v="7"/>
    <n v="1561679"/>
    <x v="0"/>
  </r>
  <r>
    <x v="8"/>
    <x v="5"/>
    <x v="1"/>
    <x v="2"/>
    <x v="3"/>
    <n v="7"/>
    <n v="125"/>
    <n v="65"/>
    <n v="24534"/>
    <x v="8"/>
    <n v="220731"/>
    <x v="1"/>
  </r>
  <r>
    <x v="9"/>
    <x v="1"/>
    <x v="1"/>
    <x v="2"/>
    <x v="0"/>
    <n v="84"/>
    <n v="82"/>
    <n v="116"/>
    <n v="36347"/>
    <x v="9"/>
    <n v="3628716"/>
    <x v="0"/>
  </r>
  <r>
    <x v="10"/>
    <x v="0"/>
    <x v="0"/>
    <x v="0"/>
    <x v="1"/>
    <n v="42"/>
    <n v="58"/>
    <n v="25"/>
    <n v="3788"/>
    <x v="10"/>
    <n v="473844"/>
    <x v="2"/>
  </r>
  <r>
    <x v="11"/>
    <x v="1"/>
    <x v="1"/>
    <x v="1"/>
    <x v="1"/>
    <n v="18"/>
    <n v="124"/>
    <n v="67"/>
    <n v="48684"/>
    <x v="11"/>
    <n v="946008"/>
    <x v="1"/>
  </r>
  <r>
    <x v="12"/>
    <x v="6"/>
    <x v="1"/>
    <x v="1"/>
    <x v="0"/>
    <n v="36"/>
    <n v="36"/>
    <n v="111"/>
    <n v="21939"/>
    <x v="12"/>
    <n v="909432"/>
    <x v="1"/>
  </r>
  <r>
    <x v="13"/>
    <x v="1"/>
    <x v="1"/>
    <x v="1"/>
    <x v="0"/>
    <n v="77"/>
    <n v="79"/>
    <n v="107"/>
    <n v="10587"/>
    <x v="13"/>
    <n v="898821"/>
    <x v="0"/>
  </r>
  <r>
    <x v="14"/>
    <x v="4"/>
    <x v="1"/>
    <x v="3"/>
    <x v="2"/>
    <n v="45"/>
    <n v="134"/>
    <n v="89"/>
    <n v="46289"/>
    <x v="14"/>
    <n v="2188530"/>
    <x v="0"/>
  </r>
  <r>
    <x v="15"/>
    <x v="3"/>
    <x v="1"/>
    <x v="2"/>
    <x v="2"/>
    <n v="50"/>
    <n v="29"/>
    <n v="98"/>
    <n v="5866"/>
    <x v="15"/>
    <n v="706400"/>
    <x v="0"/>
  </r>
  <r>
    <x v="11"/>
    <x v="0"/>
    <x v="0"/>
    <x v="1"/>
    <x v="1"/>
    <n v="5"/>
    <n v="142"/>
    <n v="114"/>
    <n v="12611"/>
    <x v="16"/>
    <n v="82460"/>
    <x v="1"/>
  </r>
  <r>
    <x v="16"/>
    <x v="0"/>
    <x v="0"/>
    <x v="0"/>
    <x v="3"/>
    <n v="98"/>
    <n v="149"/>
    <n v="111"/>
    <n v="32132"/>
    <x v="17"/>
    <n v="3459106"/>
    <x v="0"/>
  </r>
  <r>
    <x v="17"/>
    <x v="4"/>
    <x v="1"/>
    <x v="2"/>
    <x v="0"/>
    <n v="43"/>
    <n v="139"/>
    <n v="106"/>
    <n v="25695"/>
    <x v="18"/>
    <n v="1455507"/>
    <x v="1"/>
  </r>
  <r>
    <x v="18"/>
    <x v="5"/>
    <x v="1"/>
    <x v="3"/>
    <x v="0"/>
    <n v="42"/>
    <n v="55"/>
    <n v="44"/>
    <n v="29516"/>
    <x v="19"/>
    <n v="1645686"/>
    <x v="0"/>
  </r>
  <r>
    <x v="19"/>
    <x v="6"/>
    <x v="1"/>
    <x v="2"/>
    <x v="0"/>
    <n v="70"/>
    <n v="107"/>
    <n v="11"/>
    <n v="12365"/>
    <x v="20"/>
    <n v="1103270"/>
    <x v="2"/>
  </r>
  <r>
    <x v="1"/>
    <x v="4"/>
    <x v="1"/>
    <x v="3"/>
    <x v="3"/>
    <n v="92"/>
    <n v="126"/>
    <n v="24"/>
    <n v="47202"/>
    <x v="21"/>
    <n v="4992564"/>
    <x v="2"/>
  </r>
  <r>
    <x v="20"/>
    <x v="5"/>
    <x v="1"/>
    <x v="1"/>
    <x v="0"/>
    <n v="95"/>
    <n v="63"/>
    <n v="90"/>
    <n v="23208"/>
    <x v="22"/>
    <n v="2506100"/>
    <x v="2"/>
  </r>
  <r>
    <x v="21"/>
    <x v="6"/>
    <x v="1"/>
    <x v="2"/>
    <x v="2"/>
    <n v="5"/>
    <n v="27"/>
    <n v="46"/>
    <n v="7497"/>
    <x v="23"/>
    <n v="48010"/>
    <x v="1"/>
  </r>
  <r>
    <x v="22"/>
    <x v="5"/>
    <x v="1"/>
    <x v="1"/>
    <x v="3"/>
    <n v="64"/>
    <n v="59"/>
    <n v="27"/>
    <n v="39413"/>
    <x v="24"/>
    <n v="2891776"/>
    <x v="2"/>
  </r>
  <r>
    <x v="23"/>
    <x v="3"/>
    <x v="1"/>
    <x v="2"/>
    <x v="2"/>
    <n v="95"/>
    <n v="67"/>
    <n v="68"/>
    <n v="41109"/>
    <x v="25"/>
    <n v="4030375"/>
    <x v="2"/>
  </r>
  <r>
    <x v="24"/>
    <x v="1"/>
    <x v="1"/>
    <x v="0"/>
    <x v="3"/>
    <n v="72"/>
    <n v="62"/>
    <n v="25"/>
    <n v="17463"/>
    <x v="26"/>
    <n v="1329840"/>
    <x v="2"/>
  </r>
  <r>
    <x v="25"/>
    <x v="0"/>
    <x v="0"/>
    <x v="0"/>
    <x v="0"/>
    <n v="90"/>
    <n v="116"/>
    <n v="117"/>
    <n v="2291"/>
    <x v="27"/>
    <n v="658890"/>
    <x v="0"/>
  </r>
  <r>
    <x v="26"/>
    <x v="7"/>
    <x v="0"/>
    <x v="0"/>
    <x v="1"/>
    <n v="13"/>
    <n v="35"/>
    <n v="54"/>
    <n v="10863"/>
    <x v="28"/>
    <n v="228878"/>
    <x v="1"/>
  </r>
  <r>
    <x v="27"/>
    <x v="6"/>
    <x v="1"/>
    <x v="1"/>
    <x v="0"/>
    <n v="100"/>
    <n v="20"/>
    <n v="107"/>
    <n v="45700"/>
    <x v="29"/>
    <n v="5072800"/>
    <x v="0"/>
  </r>
  <r>
    <x v="28"/>
    <x v="6"/>
    <x v="1"/>
    <x v="3"/>
    <x v="0"/>
    <n v="34"/>
    <n v="93"/>
    <n v="20"/>
    <n v="34417"/>
    <x v="30"/>
    <n v="1310802"/>
    <x v="2"/>
  </r>
  <r>
    <x v="29"/>
    <x v="2"/>
    <x v="1"/>
    <x v="2"/>
    <x v="3"/>
    <n v="81"/>
    <n v="26"/>
    <n v="34"/>
    <n v="37619"/>
    <x v="31"/>
    <n v="3770145"/>
    <x v="2"/>
  </r>
  <r>
    <x v="30"/>
    <x v="2"/>
    <x v="1"/>
    <x v="3"/>
    <x v="0"/>
    <n v="34"/>
    <n v="120"/>
    <n v="43"/>
    <n v="29954"/>
    <x v="32"/>
    <n v="1113092"/>
    <x v="0"/>
  </r>
  <r>
    <x v="23"/>
    <x v="3"/>
    <x v="1"/>
    <x v="1"/>
    <x v="2"/>
    <n v="50"/>
    <n v="37"/>
    <n v="73"/>
    <n v="25409"/>
    <x v="33"/>
    <n v="1376100"/>
    <x v="0"/>
  </r>
  <r>
    <x v="31"/>
    <x v="4"/>
    <x v="1"/>
    <x v="2"/>
    <x v="0"/>
    <n v="22"/>
    <n v="61"/>
    <n v="115"/>
    <n v="11632"/>
    <x v="34"/>
    <n v="389774"/>
    <x v="1"/>
  </r>
  <r>
    <x v="32"/>
    <x v="5"/>
    <x v="1"/>
    <x v="0"/>
    <x v="0"/>
    <n v="40"/>
    <n v="29"/>
    <n v="76"/>
    <n v="18319"/>
    <x v="35"/>
    <n v="963360"/>
    <x v="0"/>
  </r>
  <r>
    <x v="33"/>
    <x v="7"/>
    <x v="0"/>
    <x v="0"/>
    <x v="2"/>
    <n v="39"/>
    <n v="57"/>
    <n v="73"/>
    <n v="16173"/>
    <x v="36"/>
    <n v="948207"/>
    <x v="0"/>
  </r>
  <r>
    <x v="34"/>
    <x v="4"/>
    <x v="1"/>
    <x v="2"/>
    <x v="0"/>
    <n v="66"/>
    <n v="23"/>
    <n v="104"/>
    <n v="15939"/>
    <x v="37"/>
    <n v="1414314"/>
    <x v="0"/>
  </r>
  <r>
    <x v="35"/>
    <x v="6"/>
    <x v="1"/>
    <x v="1"/>
    <x v="3"/>
    <n v="11"/>
    <n v="44"/>
    <n v="81"/>
    <n v="3815"/>
    <x v="38"/>
    <n v="81279"/>
    <x v="1"/>
  </r>
  <r>
    <x v="36"/>
    <x v="1"/>
    <x v="1"/>
    <x v="2"/>
    <x v="3"/>
    <n v="30"/>
    <n v="60"/>
    <n v="90"/>
    <n v="48287"/>
    <x v="39"/>
    <n v="1698780"/>
    <x v="1"/>
  </r>
  <r>
    <x v="37"/>
    <x v="1"/>
    <x v="1"/>
    <x v="0"/>
    <x v="3"/>
    <n v="23"/>
    <n v="83"/>
    <n v="42"/>
    <n v="2561"/>
    <x v="40"/>
    <n v="186001"/>
    <x v="0"/>
  </r>
  <r>
    <x v="38"/>
    <x v="3"/>
    <x v="1"/>
    <x v="0"/>
    <x v="0"/>
    <n v="19"/>
    <n v="102"/>
    <n v="31"/>
    <n v="9786"/>
    <x v="41"/>
    <n v="283043"/>
    <x v="0"/>
  </r>
  <r>
    <x v="26"/>
    <x v="3"/>
    <x v="1"/>
    <x v="1"/>
    <x v="0"/>
    <n v="9"/>
    <n v="109"/>
    <n v="51"/>
    <n v="516"/>
    <x v="42"/>
    <n v="85329"/>
    <x v="1"/>
  </r>
  <r>
    <x v="39"/>
    <x v="2"/>
    <x v="1"/>
    <x v="3"/>
    <x v="0"/>
    <n v="71"/>
    <n v="47"/>
    <n v="5"/>
    <n v="6277"/>
    <x v="43"/>
    <n v="958145"/>
    <x v="2"/>
  </r>
  <r>
    <x v="40"/>
    <x v="5"/>
    <x v="1"/>
    <x v="1"/>
    <x v="1"/>
    <n v="57"/>
    <n v="105"/>
    <n v="26"/>
    <n v="49892"/>
    <x v="44"/>
    <n v="2904150"/>
    <x v="2"/>
  </r>
  <r>
    <x v="41"/>
    <x v="2"/>
    <x v="1"/>
    <x v="3"/>
    <x v="1"/>
    <n v="70"/>
    <n v="96"/>
    <n v="62"/>
    <n v="12634"/>
    <x v="45"/>
    <n v="1043000"/>
    <x v="2"/>
  </r>
  <r>
    <x v="42"/>
    <x v="6"/>
    <x v="1"/>
    <x v="1"/>
    <x v="2"/>
    <n v="86"/>
    <n v="114"/>
    <n v="92"/>
    <n v="46513"/>
    <x v="46"/>
    <n v="4494102"/>
    <x v="0"/>
  </r>
  <r>
    <x v="43"/>
    <x v="4"/>
    <x v="1"/>
    <x v="2"/>
    <x v="0"/>
    <n v="63"/>
    <n v="115"/>
    <n v="80"/>
    <n v="40090"/>
    <x v="47"/>
    <n v="2772378"/>
    <x v="0"/>
  </r>
  <r>
    <x v="44"/>
    <x v="2"/>
    <x v="1"/>
    <x v="0"/>
    <x v="1"/>
    <n v="26"/>
    <n v="61"/>
    <n v="99"/>
    <n v="20017"/>
    <x v="48"/>
    <n v="705614"/>
    <x v="1"/>
  </r>
  <r>
    <x v="22"/>
    <x v="1"/>
    <x v="1"/>
    <x v="3"/>
    <x v="1"/>
    <n v="63"/>
    <n v="145"/>
    <n v="34"/>
    <n v="42673"/>
    <x v="49"/>
    <n v="2751777"/>
    <x v="2"/>
  </r>
  <r>
    <x v="45"/>
    <x v="0"/>
    <x v="0"/>
    <x v="2"/>
    <x v="2"/>
    <n v="32"/>
    <n v="92"/>
    <n v="21"/>
    <n v="11980"/>
    <x v="50"/>
    <n v="577632"/>
    <x v="2"/>
  </r>
  <r>
    <x v="46"/>
    <x v="6"/>
    <x v="1"/>
    <x v="1"/>
    <x v="1"/>
    <n v="6"/>
    <n v="32"/>
    <n v="8"/>
    <n v="14877"/>
    <x v="51"/>
    <n v="146622"/>
    <x v="0"/>
  </r>
  <r>
    <x v="47"/>
    <x v="7"/>
    <x v="0"/>
    <x v="1"/>
    <x v="2"/>
    <n v="25"/>
    <n v="111"/>
    <n v="76"/>
    <n v="39787"/>
    <x v="52"/>
    <n v="1166875"/>
    <x v="1"/>
  </r>
  <r>
    <x v="48"/>
    <x v="3"/>
    <x v="1"/>
    <x v="1"/>
    <x v="0"/>
    <n v="30"/>
    <n v="24"/>
    <n v="25"/>
    <n v="5022"/>
    <x v="53"/>
    <n v="273450"/>
    <x v="2"/>
  </r>
  <r>
    <x v="27"/>
    <x v="1"/>
    <x v="1"/>
    <x v="0"/>
    <x v="3"/>
    <n v="28"/>
    <n v="23"/>
    <n v="0"/>
    <n v="26419"/>
    <x v="54"/>
    <n v="986972"/>
    <x v="2"/>
  </r>
  <r>
    <x v="18"/>
    <x v="7"/>
    <x v="0"/>
    <x v="2"/>
    <x v="0"/>
    <n v="9"/>
    <n v="77"/>
    <n v="24"/>
    <n v="9564"/>
    <x v="55"/>
    <n v="160929"/>
    <x v="1"/>
  </r>
  <r>
    <x v="24"/>
    <x v="3"/>
    <x v="1"/>
    <x v="2"/>
    <x v="0"/>
    <n v="74"/>
    <n v="105"/>
    <n v="27"/>
    <n v="31964"/>
    <x v="56"/>
    <n v="2550928"/>
    <x v="2"/>
  </r>
  <r>
    <x v="16"/>
    <x v="1"/>
    <x v="1"/>
    <x v="0"/>
    <x v="2"/>
    <n v="21"/>
    <n v="77"/>
    <n v="110"/>
    <n v="28336"/>
    <x v="57"/>
    <n v="764925"/>
    <x v="1"/>
  </r>
  <r>
    <x v="49"/>
    <x v="6"/>
    <x v="1"/>
    <x v="2"/>
    <x v="3"/>
    <n v="12"/>
    <n v="149"/>
    <n v="11"/>
    <n v="32697"/>
    <x v="58"/>
    <n v="431808"/>
    <x v="2"/>
  </r>
  <r>
    <x v="50"/>
    <x v="0"/>
    <x v="0"/>
    <x v="1"/>
    <x v="1"/>
    <n v="17"/>
    <n v="81"/>
    <n v="73"/>
    <n v="32415"/>
    <x v="59"/>
    <n v="717060"/>
    <x v="1"/>
  </r>
  <r>
    <x v="51"/>
    <x v="1"/>
    <x v="1"/>
    <x v="2"/>
    <x v="1"/>
    <n v="57"/>
    <n v="140"/>
    <n v="116"/>
    <n v="28131"/>
    <x v="60"/>
    <n v="2004519"/>
    <x v="1"/>
  </r>
  <r>
    <x v="52"/>
    <x v="1"/>
    <x v="1"/>
    <x v="2"/>
    <x v="0"/>
    <n v="48"/>
    <n v="150"/>
    <n v="119"/>
    <n v="4059"/>
    <x v="61"/>
    <n v="581568"/>
    <x v="1"/>
  </r>
  <r>
    <x v="35"/>
    <x v="4"/>
    <x v="1"/>
    <x v="1"/>
    <x v="3"/>
    <n v="61"/>
    <n v="22"/>
    <n v="42"/>
    <n v="21696"/>
    <x v="62"/>
    <n v="1615890"/>
    <x v="2"/>
  </r>
  <r>
    <x v="53"/>
    <x v="5"/>
    <x v="1"/>
    <x v="2"/>
    <x v="0"/>
    <n v="26"/>
    <n v="55"/>
    <n v="19"/>
    <n v="7231"/>
    <x v="63"/>
    <n v="240448"/>
    <x v="2"/>
  </r>
  <r>
    <x v="54"/>
    <x v="4"/>
    <x v="1"/>
    <x v="3"/>
    <x v="0"/>
    <n v="48"/>
    <n v="71"/>
    <n v="19"/>
    <n v="43045"/>
    <x v="64"/>
    <n v="2387808"/>
    <x v="2"/>
  </r>
  <r>
    <x v="55"/>
    <x v="0"/>
    <x v="0"/>
    <x v="1"/>
    <x v="3"/>
    <n v="81"/>
    <n v="130"/>
    <n v="24"/>
    <n v="32984"/>
    <x v="65"/>
    <n v="3348540"/>
    <x v="2"/>
  </r>
  <r>
    <x v="56"/>
    <x v="3"/>
    <x v="1"/>
    <x v="0"/>
    <x v="0"/>
    <n v="45"/>
    <n v="121"/>
    <n v="32"/>
    <n v="47569"/>
    <x v="66"/>
    <n v="2441385"/>
    <x v="2"/>
  </r>
  <r>
    <x v="57"/>
    <x v="6"/>
    <x v="1"/>
    <x v="1"/>
    <x v="3"/>
    <n v="14"/>
    <n v="103"/>
    <n v="26"/>
    <n v="5870"/>
    <x v="67"/>
    <n v="112966"/>
    <x v="0"/>
  </r>
  <r>
    <x v="58"/>
    <x v="0"/>
    <x v="0"/>
    <x v="1"/>
    <x v="2"/>
    <n v="65"/>
    <n v="41"/>
    <n v="47"/>
    <n v="29729"/>
    <x v="68"/>
    <n v="2254200"/>
    <x v="2"/>
  </r>
  <r>
    <x v="59"/>
    <x v="7"/>
    <x v="0"/>
    <x v="1"/>
    <x v="3"/>
    <n v="88"/>
    <n v="80"/>
    <n v="9"/>
    <n v="43197"/>
    <x v="69"/>
    <n v="4474448"/>
    <x v="2"/>
  </r>
  <r>
    <x v="53"/>
    <x v="0"/>
    <x v="0"/>
    <x v="3"/>
    <x v="0"/>
    <n v="10"/>
    <n v="26"/>
    <n v="74"/>
    <n v="21614"/>
    <x v="70"/>
    <n v="222650"/>
    <x v="1"/>
  </r>
  <r>
    <x v="60"/>
    <x v="5"/>
    <x v="1"/>
    <x v="3"/>
    <x v="3"/>
    <n v="14"/>
    <n v="78"/>
    <n v="49"/>
    <n v="16743"/>
    <x v="71"/>
    <n v="354396"/>
    <x v="1"/>
  </r>
  <r>
    <x v="44"/>
    <x v="4"/>
    <x v="1"/>
    <x v="3"/>
    <x v="2"/>
    <n v="71"/>
    <n v="50"/>
    <n v="17"/>
    <n v="21246"/>
    <x v="72"/>
    <n v="1889594"/>
    <x v="2"/>
  </r>
  <r>
    <x v="61"/>
    <x v="2"/>
    <x v="1"/>
    <x v="1"/>
    <x v="3"/>
    <n v="5"/>
    <n v="28"/>
    <n v="88"/>
    <n v="36821"/>
    <x v="73"/>
    <n v="199340"/>
    <x v="1"/>
  </r>
  <r>
    <x v="62"/>
    <x v="7"/>
    <x v="0"/>
    <x v="1"/>
    <x v="0"/>
    <n v="8"/>
    <n v="63"/>
    <n v="60"/>
    <n v="24441"/>
    <x v="74"/>
    <n v="234656"/>
    <x v="1"/>
  </r>
  <r>
    <x v="52"/>
    <x v="4"/>
    <x v="1"/>
    <x v="1"/>
    <x v="0"/>
    <n v="8"/>
    <n v="34"/>
    <n v="16"/>
    <n v="5830"/>
    <x v="75"/>
    <n v="115008"/>
    <x v="0"/>
  </r>
  <r>
    <x v="51"/>
    <x v="7"/>
    <x v="0"/>
    <x v="3"/>
    <x v="3"/>
    <n v="14"/>
    <n v="60"/>
    <n v="69"/>
    <n v="43613"/>
    <x v="76"/>
    <n v="692230"/>
    <x v="1"/>
  </r>
  <r>
    <x v="63"/>
    <x v="3"/>
    <x v="1"/>
    <x v="2"/>
    <x v="2"/>
    <n v="26"/>
    <n v="73"/>
    <n v="79"/>
    <n v="23749"/>
    <x v="77"/>
    <n v="866138"/>
    <x v="1"/>
  </r>
  <r>
    <x v="64"/>
    <x v="6"/>
    <x v="1"/>
    <x v="2"/>
    <x v="3"/>
    <n v="84"/>
    <n v="127"/>
    <n v="72"/>
    <n v="46263"/>
    <x v="78"/>
    <n v="4648476"/>
    <x v="2"/>
  </r>
  <r>
    <x v="65"/>
    <x v="6"/>
    <x v="1"/>
    <x v="3"/>
    <x v="0"/>
    <n v="73"/>
    <n v="49"/>
    <n v="47"/>
    <n v="40839"/>
    <x v="79"/>
    <n v="3391726"/>
    <x v="2"/>
  </r>
  <r>
    <x v="66"/>
    <x v="5"/>
    <x v="1"/>
    <x v="3"/>
    <x v="3"/>
    <n v="48"/>
    <n v="96"/>
    <n v="78"/>
    <n v="8842"/>
    <x v="80"/>
    <n v="478704"/>
    <x v="0"/>
  </r>
  <r>
    <x v="67"/>
    <x v="7"/>
    <x v="0"/>
    <x v="2"/>
    <x v="0"/>
    <n v="76"/>
    <n v="121"/>
    <n v="38"/>
    <n v="4768"/>
    <x v="81"/>
    <n v="722304"/>
    <x v="2"/>
  </r>
  <r>
    <x v="68"/>
    <x v="6"/>
    <x v="1"/>
    <x v="0"/>
    <x v="1"/>
    <n v="38"/>
    <n v="143"/>
    <n v="95"/>
    <n v="38641"/>
    <x v="82"/>
    <n v="1536074"/>
    <x v="1"/>
  </r>
  <r>
    <x v="33"/>
    <x v="2"/>
    <x v="1"/>
    <x v="2"/>
    <x v="0"/>
    <n v="94"/>
    <n v="130"/>
    <n v="95"/>
    <n v="10876"/>
    <x v="83"/>
    <n v="1809406"/>
    <x v="0"/>
  </r>
  <r>
    <x v="49"/>
    <x v="4"/>
    <x v="1"/>
    <x v="1"/>
    <x v="2"/>
    <n v="19"/>
    <n v="33"/>
    <n v="75"/>
    <n v="15777"/>
    <x v="84"/>
    <n v="346560"/>
    <x v="1"/>
  </r>
  <r>
    <x v="8"/>
    <x v="0"/>
    <x v="0"/>
    <x v="0"/>
    <x v="0"/>
    <n v="21"/>
    <n v="137"/>
    <n v="89"/>
    <n v="29685"/>
    <x v="85"/>
    <n v="734538"/>
    <x v="1"/>
  </r>
  <r>
    <x v="69"/>
    <x v="1"/>
    <x v="1"/>
    <x v="0"/>
    <x v="3"/>
    <n v="27"/>
    <n v="82"/>
    <n v="35"/>
    <n v="4262"/>
    <x v="86"/>
    <n v="299322"/>
    <x v="0"/>
  </r>
  <r>
    <x v="70"/>
    <x v="1"/>
    <x v="1"/>
    <x v="1"/>
    <x v="2"/>
    <n v="50"/>
    <n v="52"/>
    <n v="12"/>
    <n v="35723"/>
    <x v="87"/>
    <n v="2174250"/>
    <x v="2"/>
  </r>
  <r>
    <x v="44"/>
    <x v="2"/>
    <x v="1"/>
    <x v="3"/>
    <x v="2"/>
    <n v="80"/>
    <n v="114"/>
    <n v="30"/>
    <n v="15572"/>
    <x v="88"/>
    <n v="1612480"/>
    <x v="2"/>
  </r>
  <r>
    <x v="71"/>
    <x v="7"/>
    <x v="0"/>
    <x v="0"/>
    <x v="3"/>
    <n v="27"/>
    <n v="39"/>
    <n v="16"/>
    <n v="28097"/>
    <x v="89"/>
    <n v="1017198"/>
    <x v="2"/>
  </r>
  <r>
    <x v="72"/>
    <x v="4"/>
    <x v="1"/>
    <x v="2"/>
    <x v="0"/>
    <n v="52"/>
    <n v="111"/>
    <n v="90"/>
    <n v="19050"/>
    <x v="90"/>
    <n v="1458600"/>
    <x v="0"/>
  </r>
  <r>
    <x v="73"/>
    <x v="7"/>
    <x v="0"/>
    <x v="3"/>
    <x v="0"/>
    <n v="49"/>
    <n v="52"/>
    <n v="118"/>
    <n v="22594"/>
    <x v="91"/>
    <n v="1121414"/>
    <x v="1"/>
  </r>
  <r>
    <x v="74"/>
    <x v="0"/>
    <x v="0"/>
    <x v="0"/>
    <x v="0"/>
    <n v="30"/>
    <n v="61"/>
    <n v="49"/>
    <n v="1266"/>
    <x v="92"/>
    <n v="143970"/>
    <x v="0"/>
  </r>
  <r>
    <x v="75"/>
    <x v="5"/>
    <x v="1"/>
    <x v="1"/>
    <x v="0"/>
    <n v="30"/>
    <n v="21"/>
    <n v="96"/>
    <n v="31634"/>
    <x v="93"/>
    <n v="1010400"/>
    <x v="1"/>
  </r>
  <r>
    <x v="76"/>
    <x v="2"/>
    <x v="1"/>
    <x v="2"/>
    <x v="0"/>
    <n v="41"/>
    <n v="45"/>
    <n v="37"/>
    <n v="11898"/>
    <x v="94"/>
    <n v="808520"/>
    <x v="2"/>
  </r>
  <r>
    <x v="17"/>
    <x v="6"/>
    <x v="1"/>
    <x v="1"/>
    <x v="3"/>
    <n v="66"/>
    <n v="139"/>
    <n v="89"/>
    <n v="27384"/>
    <x v="95"/>
    <n v="1884300"/>
    <x v="0"/>
  </r>
  <r>
    <x v="77"/>
    <x v="7"/>
    <x v="0"/>
    <x v="2"/>
    <x v="1"/>
    <n v="70"/>
    <n v="23"/>
    <n v="91"/>
    <n v="28059"/>
    <x v="96"/>
    <n v="2180780"/>
    <x v="0"/>
  </r>
  <r>
    <x v="78"/>
    <x v="2"/>
    <x v="1"/>
    <x v="0"/>
    <x v="1"/>
    <n v="63"/>
    <n v="76"/>
    <n v="34"/>
    <n v="37185"/>
    <x v="97"/>
    <n v="2765007"/>
    <x v="2"/>
  </r>
  <r>
    <x v="42"/>
    <x v="7"/>
    <x v="0"/>
    <x v="2"/>
    <x v="2"/>
    <n v="15"/>
    <n v="81"/>
    <n v="1"/>
    <n v="31526"/>
    <x v="98"/>
    <n v="551910"/>
    <x v="2"/>
  </r>
  <r>
    <x v="12"/>
    <x v="6"/>
    <x v="1"/>
    <x v="0"/>
    <x v="3"/>
    <n v="92"/>
    <n v="46"/>
    <n v="112"/>
    <n v="40241"/>
    <x v="99"/>
    <n v="3761788"/>
    <x v="0"/>
  </r>
  <r>
    <x v="79"/>
    <x v="0"/>
    <x v="0"/>
    <x v="0"/>
    <x v="3"/>
    <n v="24"/>
    <n v="76"/>
    <n v="9"/>
    <n v="9743"/>
    <x v="100"/>
    <n v="282888"/>
    <x v="2"/>
  </r>
  <r>
    <x v="4"/>
    <x v="5"/>
    <x v="1"/>
    <x v="0"/>
    <x v="2"/>
    <n v="30"/>
    <n v="124"/>
    <n v="52"/>
    <n v="39542"/>
    <x v="101"/>
    <n v="1364250"/>
    <x v="0"/>
  </r>
  <r>
    <x v="63"/>
    <x v="6"/>
    <x v="1"/>
    <x v="2"/>
    <x v="1"/>
    <n v="14"/>
    <n v="93"/>
    <n v="84"/>
    <n v="5896"/>
    <x v="102"/>
    <n v="179340"/>
    <x v="1"/>
  </r>
  <r>
    <x v="80"/>
    <x v="0"/>
    <x v="0"/>
    <x v="1"/>
    <x v="0"/>
    <n v="90"/>
    <n v="35"/>
    <n v="102"/>
    <n v="36234"/>
    <x v="103"/>
    <n v="3501270"/>
    <x v="0"/>
  </r>
  <r>
    <x v="81"/>
    <x v="6"/>
    <x v="1"/>
    <x v="0"/>
    <x v="0"/>
    <n v="52"/>
    <n v="130"/>
    <n v="77"/>
    <n v="20705"/>
    <x v="104"/>
    <n v="1319032"/>
    <x v="0"/>
  </r>
  <r>
    <x v="82"/>
    <x v="6"/>
    <x v="1"/>
    <x v="1"/>
    <x v="2"/>
    <n v="30"/>
    <n v="24"/>
    <n v="62"/>
    <n v="35664"/>
    <x v="105"/>
    <n v="1273560"/>
    <x v="1"/>
  </r>
  <r>
    <x v="83"/>
    <x v="7"/>
    <x v="0"/>
    <x v="0"/>
    <x v="1"/>
    <n v="18"/>
    <n v="77"/>
    <n v="58"/>
    <n v="29630"/>
    <x v="106"/>
    <n v="654930"/>
    <x v="1"/>
  </r>
  <r>
    <x v="28"/>
    <x v="7"/>
    <x v="0"/>
    <x v="2"/>
    <x v="3"/>
    <n v="88"/>
    <n v="88"/>
    <n v="10"/>
    <n v="22294"/>
    <x v="107"/>
    <n v="2095456"/>
    <x v="2"/>
  </r>
  <r>
    <x v="4"/>
    <x v="0"/>
    <x v="0"/>
    <x v="3"/>
    <x v="1"/>
    <n v="26"/>
    <n v="47"/>
    <n v="115"/>
    <n v="16377"/>
    <x v="108"/>
    <n v="463840"/>
    <x v="1"/>
  </r>
  <r>
    <x v="10"/>
    <x v="0"/>
    <x v="0"/>
    <x v="1"/>
    <x v="3"/>
    <n v="50"/>
    <n v="96"/>
    <n v="115"/>
    <n v="1683"/>
    <x v="109"/>
    <n v="382900"/>
    <x v="1"/>
  </r>
  <r>
    <x v="40"/>
    <x v="5"/>
    <x v="1"/>
    <x v="2"/>
    <x v="0"/>
    <n v="71"/>
    <n v="104"/>
    <n v="16"/>
    <n v="46615"/>
    <x v="110"/>
    <n v="3518547"/>
    <x v="2"/>
  </r>
  <r>
    <x v="8"/>
    <x v="4"/>
    <x v="1"/>
    <x v="0"/>
    <x v="2"/>
    <n v="11"/>
    <n v="112"/>
    <n v="98"/>
    <n v="7515"/>
    <x v="111"/>
    <n v="112123"/>
    <x v="1"/>
  </r>
  <r>
    <x v="77"/>
    <x v="5"/>
    <x v="1"/>
    <x v="2"/>
    <x v="2"/>
    <n v="7"/>
    <n v="26"/>
    <n v="16"/>
    <n v="38009"/>
    <x v="112"/>
    <n v="314013"/>
    <x v="1"/>
  </r>
  <r>
    <x v="25"/>
    <x v="1"/>
    <x v="1"/>
    <x v="2"/>
    <x v="3"/>
    <n v="74"/>
    <n v="115"/>
    <n v="105"/>
    <n v="4147"/>
    <x v="113"/>
    <n v="903910"/>
    <x v="0"/>
  </r>
  <r>
    <x v="84"/>
    <x v="5"/>
    <x v="1"/>
    <x v="2"/>
    <x v="1"/>
    <n v="26"/>
    <n v="126"/>
    <n v="29"/>
    <n v="11642"/>
    <x v="114"/>
    <n v="457938"/>
    <x v="0"/>
  </r>
  <r>
    <x v="85"/>
    <x v="4"/>
    <x v="1"/>
    <x v="1"/>
    <x v="0"/>
    <n v="56"/>
    <n v="61"/>
    <n v="50"/>
    <n v="11584"/>
    <x v="115"/>
    <n v="692776"/>
    <x v="2"/>
  </r>
  <r>
    <x v="86"/>
    <x v="6"/>
    <x v="1"/>
    <x v="0"/>
    <x v="0"/>
    <n v="65"/>
    <n v="141"/>
    <n v="7"/>
    <n v="36502"/>
    <x v="59"/>
    <n v="2741700"/>
    <x v="2"/>
  </r>
  <r>
    <x v="77"/>
    <x v="0"/>
    <x v="0"/>
    <x v="2"/>
    <x v="2"/>
    <n v="45"/>
    <n v="80"/>
    <n v="72"/>
    <n v="27139"/>
    <x v="116"/>
    <n v="1420335"/>
    <x v="0"/>
  </r>
  <r>
    <x v="87"/>
    <x v="6"/>
    <x v="1"/>
    <x v="3"/>
    <x v="0"/>
    <n v="21"/>
    <n v="149"/>
    <n v="57"/>
    <n v="30826"/>
    <x v="117"/>
    <n v="759318"/>
    <x v="1"/>
  </r>
  <r>
    <x v="6"/>
    <x v="3"/>
    <x v="1"/>
    <x v="2"/>
    <x v="1"/>
    <n v="75"/>
    <n v="115"/>
    <n v="75"/>
    <n v="31005"/>
    <x v="118"/>
    <n v="2669850"/>
    <x v="0"/>
  </r>
  <r>
    <x v="40"/>
    <x v="4"/>
    <x v="1"/>
    <x v="3"/>
    <x v="2"/>
    <n v="67"/>
    <n v="58"/>
    <n v="15"/>
    <n v="11863"/>
    <x v="119"/>
    <n v="1022085"/>
    <x v="2"/>
  </r>
  <r>
    <x v="27"/>
    <x v="7"/>
    <x v="0"/>
    <x v="0"/>
    <x v="3"/>
    <n v="43"/>
    <n v="119"/>
    <n v="88"/>
    <n v="30863"/>
    <x v="120"/>
    <n v="1494680"/>
    <x v="1"/>
  </r>
  <r>
    <x v="79"/>
    <x v="4"/>
    <x v="1"/>
    <x v="0"/>
    <x v="3"/>
    <n v="32"/>
    <n v="141"/>
    <n v="8"/>
    <n v="43537"/>
    <x v="121"/>
    <n v="1418560"/>
    <x v="2"/>
  </r>
  <r>
    <x v="71"/>
    <x v="3"/>
    <x v="1"/>
    <x v="0"/>
    <x v="3"/>
    <n v="90"/>
    <n v="76"/>
    <n v="114"/>
    <n v="33865"/>
    <x v="122"/>
    <n v="3637260"/>
    <x v="0"/>
  </r>
  <r>
    <x v="88"/>
    <x v="0"/>
    <x v="0"/>
    <x v="3"/>
    <x v="0"/>
    <n v="92"/>
    <n v="50"/>
    <n v="57"/>
    <n v="34939"/>
    <x v="123"/>
    <n v="3604284"/>
    <x v="2"/>
  </r>
  <r>
    <x v="74"/>
    <x v="6"/>
    <x v="1"/>
    <x v="3"/>
    <x v="2"/>
    <n v="91"/>
    <n v="101"/>
    <n v="68"/>
    <n v="13997"/>
    <x v="124"/>
    <n v="1508780"/>
    <x v="2"/>
  </r>
  <r>
    <x v="33"/>
    <x v="4"/>
    <x v="1"/>
    <x v="0"/>
    <x v="1"/>
    <n v="74"/>
    <n v="121"/>
    <n v="2"/>
    <n v="7042"/>
    <x v="125"/>
    <n v="882376"/>
    <x v="2"/>
  </r>
  <r>
    <x v="89"/>
    <x v="1"/>
    <x v="1"/>
    <x v="0"/>
    <x v="2"/>
    <n v="46"/>
    <n v="119"/>
    <n v="78"/>
    <n v="16097"/>
    <x v="126"/>
    <n v="962228"/>
    <x v="0"/>
  </r>
  <r>
    <x v="90"/>
    <x v="2"/>
    <x v="1"/>
    <x v="2"/>
    <x v="0"/>
    <n v="48"/>
    <n v="53"/>
    <n v="80"/>
    <n v="24288"/>
    <x v="127"/>
    <n v="1504368"/>
    <x v="0"/>
  </r>
  <r>
    <x v="91"/>
    <x v="5"/>
    <x v="1"/>
    <x v="1"/>
    <x v="2"/>
    <n v="48"/>
    <n v="31"/>
    <n v="19"/>
    <n v="32652"/>
    <x v="128"/>
    <n v="1903968"/>
    <x v="2"/>
  </r>
  <r>
    <x v="92"/>
    <x v="3"/>
    <x v="1"/>
    <x v="2"/>
    <x v="3"/>
    <n v="88"/>
    <n v="56"/>
    <n v="105"/>
    <n v="7863"/>
    <x v="129"/>
    <n v="1068232"/>
    <x v="0"/>
  </r>
  <r>
    <x v="93"/>
    <x v="4"/>
    <x v="1"/>
    <x v="3"/>
    <x v="3"/>
    <n v="51"/>
    <n v="101"/>
    <n v="41"/>
    <n v="13410"/>
    <x v="130"/>
    <n v="1038921"/>
    <x v="2"/>
  </r>
  <r>
    <x v="50"/>
    <x v="6"/>
    <x v="1"/>
    <x v="1"/>
    <x v="2"/>
    <n v="77"/>
    <n v="22"/>
    <n v="57"/>
    <n v="41520"/>
    <x v="131"/>
    <n v="3808343"/>
    <x v="2"/>
  </r>
  <r>
    <x v="80"/>
    <x v="2"/>
    <x v="1"/>
    <x v="1"/>
    <x v="1"/>
    <n v="73"/>
    <n v="143"/>
    <n v="5"/>
    <n v="36036"/>
    <x v="132"/>
    <n v="2859118"/>
    <x v="2"/>
  </r>
  <r>
    <x v="83"/>
    <x v="6"/>
    <x v="1"/>
    <x v="1"/>
    <x v="1"/>
    <n v="83"/>
    <n v="35"/>
    <n v="68"/>
    <n v="746"/>
    <x v="133"/>
    <n v="709235"/>
    <x v="2"/>
  </r>
  <r>
    <x v="94"/>
    <x v="1"/>
    <x v="1"/>
    <x v="2"/>
    <x v="0"/>
    <n v="9"/>
    <n v="81"/>
    <n v="100"/>
    <n v="7879"/>
    <x v="134"/>
    <n v="132336"/>
    <x v="1"/>
  </r>
  <r>
    <x v="9"/>
    <x v="6"/>
    <x v="1"/>
    <x v="2"/>
    <x v="1"/>
    <n v="76"/>
    <n v="115"/>
    <n v="80"/>
    <n v="3180"/>
    <x v="135"/>
    <n v="755820"/>
    <x v="0"/>
  </r>
  <r>
    <x v="95"/>
    <x v="7"/>
    <x v="0"/>
    <x v="1"/>
    <x v="1"/>
    <n v="89"/>
    <n v="56"/>
    <n v="115"/>
    <n v="35921"/>
    <x v="136"/>
    <n v="3726519"/>
    <x v="0"/>
  </r>
  <r>
    <x v="96"/>
    <x v="7"/>
    <x v="0"/>
    <x v="0"/>
    <x v="2"/>
    <n v="35"/>
    <n v="58"/>
    <n v="49"/>
    <n v="14565"/>
    <x v="137"/>
    <n v="647955"/>
    <x v="0"/>
  </r>
  <r>
    <x v="97"/>
    <x v="2"/>
    <x v="1"/>
    <x v="3"/>
    <x v="1"/>
    <n v="22"/>
    <n v="50"/>
    <n v="21"/>
    <n v="48939"/>
    <x v="138"/>
    <n v="1187846"/>
    <x v="2"/>
  </r>
  <r>
    <x v="98"/>
    <x v="0"/>
    <x v="0"/>
    <x v="1"/>
    <x v="1"/>
    <n v="6"/>
    <n v="92"/>
    <n v="74"/>
    <n v="20973"/>
    <x v="139"/>
    <n v="135588"/>
    <x v="1"/>
  </r>
  <r>
    <x v="99"/>
    <x v="3"/>
    <x v="1"/>
    <x v="1"/>
    <x v="0"/>
    <n v="75"/>
    <n v="113"/>
    <n v="66"/>
    <n v="31492"/>
    <x v="140"/>
    <n v="2865300"/>
    <x v="2"/>
  </r>
  <r>
    <x v="56"/>
    <x v="2"/>
    <x v="1"/>
    <x v="3"/>
    <x v="0"/>
    <n v="84"/>
    <n v="131"/>
    <n v="4"/>
    <n v="1980"/>
    <x v="141"/>
    <n v="329700"/>
    <x v="2"/>
  </r>
  <r>
    <x v="40"/>
    <x v="4"/>
    <x v="1"/>
    <x v="3"/>
    <x v="2"/>
    <n v="31"/>
    <n v="66"/>
    <n v="97"/>
    <n v="46794"/>
    <x v="142"/>
    <n v="1632894"/>
    <x v="1"/>
  </r>
  <r>
    <x v="79"/>
    <x v="0"/>
    <x v="0"/>
    <x v="3"/>
    <x v="0"/>
    <n v="51"/>
    <n v="99"/>
    <n v="120"/>
    <n v="21673"/>
    <x v="143"/>
    <n v="1463139"/>
    <x v="1"/>
  </r>
  <r>
    <x v="100"/>
    <x v="6"/>
    <x v="1"/>
    <x v="1"/>
    <x v="1"/>
    <n v="36"/>
    <n v="143"/>
    <n v="29"/>
    <n v="19683"/>
    <x v="144"/>
    <n v="963288"/>
    <x v="2"/>
  </r>
  <r>
    <x v="21"/>
    <x v="1"/>
    <x v="1"/>
    <x v="0"/>
    <x v="3"/>
    <n v="55"/>
    <n v="72"/>
    <n v="37"/>
    <n v="48757"/>
    <x v="145"/>
    <n v="3125430"/>
    <x v="2"/>
  </r>
  <r>
    <x v="66"/>
    <x v="0"/>
    <x v="0"/>
    <x v="1"/>
    <x v="3"/>
    <n v="76"/>
    <n v="126"/>
    <n v="44"/>
    <n v="30124"/>
    <x v="146"/>
    <n v="2726500"/>
    <x v="2"/>
  </r>
  <r>
    <x v="101"/>
    <x v="1"/>
    <x v="1"/>
    <x v="1"/>
    <x v="2"/>
    <n v="99"/>
    <n v="119"/>
    <n v="22"/>
    <n v="9313"/>
    <x v="147"/>
    <n v="1151271"/>
    <x v="2"/>
  </r>
  <r>
    <x v="74"/>
    <x v="5"/>
    <x v="1"/>
    <x v="2"/>
    <x v="2"/>
    <n v="30"/>
    <n v="86"/>
    <n v="90"/>
    <n v="44108"/>
    <x v="148"/>
    <n v="1364010"/>
    <x v="1"/>
  </r>
  <r>
    <x v="61"/>
    <x v="7"/>
    <x v="0"/>
    <x v="3"/>
    <x v="0"/>
    <n v="12"/>
    <n v="62"/>
    <n v="49"/>
    <n v="1643"/>
    <x v="149"/>
    <n v="34020"/>
    <x v="1"/>
  </r>
  <r>
    <x v="8"/>
    <x v="4"/>
    <x v="1"/>
    <x v="3"/>
    <x v="2"/>
    <n v="59"/>
    <n v="112"/>
    <n v="99"/>
    <n v="23162"/>
    <x v="150"/>
    <n v="1429393"/>
    <x v="0"/>
  </r>
  <r>
    <x v="100"/>
    <x v="2"/>
    <x v="1"/>
    <x v="1"/>
    <x v="1"/>
    <n v="66"/>
    <n v="38"/>
    <n v="112"/>
    <n v="19579"/>
    <x v="151"/>
    <n v="1567500"/>
    <x v="0"/>
  </r>
  <r>
    <x v="102"/>
    <x v="6"/>
    <x v="1"/>
    <x v="1"/>
    <x v="3"/>
    <n v="18"/>
    <n v="81"/>
    <n v="45"/>
    <n v="14854"/>
    <x v="152"/>
    <n v="393192"/>
    <x v="1"/>
  </r>
  <r>
    <x v="4"/>
    <x v="0"/>
    <x v="0"/>
    <x v="3"/>
    <x v="2"/>
    <n v="75"/>
    <n v="122"/>
    <n v="16"/>
    <n v="33820"/>
    <x v="153"/>
    <n v="3228525"/>
    <x v="2"/>
  </r>
  <r>
    <x v="103"/>
    <x v="3"/>
    <x v="1"/>
    <x v="0"/>
    <x v="3"/>
    <n v="51"/>
    <n v="113"/>
    <n v="93"/>
    <n v="41410"/>
    <x v="154"/>
    <n v="2278578"/>
    <x v="0"/>
  </r>
  <r>
    <x v="104"/>
    <x v="1"/>
    <x v="1"/>
    <x v="3"/>
    <x v="1"/>
    <n v="50"/>
    <n v="28"/>
    <n v="45"/>
    <n v="8828"/>
    <x v="155"/>
    <n v="741550"/>
    <x v="2"/>
  </r>
  <r>
    <x v="105"/>
    <x v="5"/>
    <x v="1"/>
    <x v="0"/>
    <x v="3"/>
    <n v="67"/>
    <n v="71"/>
    <n v="34"/>
    <n v="9873"/>
    <x v="156"/>
    <n v="849560"/>
    <x v="2"/>
  </r>
  <r>
    <x v="58"/>
    <x v="2"/>
    <x v="1"/>
    <x v="1"/>
    <x v="0"/>
    <n v="71"/>
    <n v="36"/>
    <n v="91"/>
    <n v="49017"/>
    <x v="157"/>
    <n v="3948168"/>
    <x v="0"/>
  </r>
  <r>
    <x v="34"/>
    <x v="2"/>
    <x v="1"/>
    <x v="3"/>
    <x v="0"/>
    <n v="24"/>
    <n v="49"/>
    <n v="39"/>
    <n v="33225"/>
    <x v="158"/>
    <n v="991872"/>
    <x v="0"/>
  </r>
  <r>
    <x v="77"/>
    <x v="1"/>
    <x v="1"/>
    <x v="3"/>
    <x v="3"/>
    <n v="49"/>
    <n v="107"/>
    <n v="118"/>
    <n v="21871"/>
    <x v="159"/>
    <n v="1096228"/>
    <x v="1"/>
  </r>
  <r>
    <x v="15"/>
    <x v="6"/>
    <x v="1"/>
    <x v="2"/>
    <x v="1"/>
    <n v="37"/>
    <n v="142"/>
    <n v="111"/>
    <n v="6632"/>
    <x v="160"/>
    <n v="346431"/>
    <x v="1"/>
  </r>
  <r>
    <x v="31"/>
    <x v="6"/>
    <x v="1"/>
    <x v="1"/>
    <x v="0"/>
    <n v="11"/>
    <n v="58"/>
    <n v="100"/>
    <n v="26179"/>
    <x v="161"/>
    <n v="315293"/>
    <x v="1"/>
  </r>
  <r>
    <x v="106"/>
    <x v="3"/>
    <x v="1"/>
    <x v="0"/>
    <x v="3"/>
    <n v="30"/>
    <n v="124"/>
    <n v="103"/>
    <n v="24399"/>
    <x v="162"/>
    <n v="808980"/>
    <x v="1"/>
  </r>
  <r>
    <x v="107"/>
    <x v="2"/>
    <x v="1"/>
    <x v="1"/>
    <x v="2"/>
    <n v="93"/>
    <n v="43"/>
    <n v="64"/>
    <n v="11719"/>
    <x v="163"/>
    <n v="1475352"/>
    <x v="2"/>
  </r>
  <r>
    <x v="49"/>
    <x v="6"/>
    <x v="1"/>
    <x v="1"/>
    <x v="1"/>
    <n v="75"/>
    <n v="95"/>
    <n v="21"/>
    <n v="11710"/>
    <x v="164"/>
    <n v="1126350"/>
    <x v="2"/>
  </r>
  <r>
    <x v="56"/>
    <x v="2"/>
    <x v="1"/>
    <x v="0"/>
    <x v="0"/>
    <n v="20"/>
    <n v="77"/>
    <n v="95"/>
    <n v="19891"/>
    <x v="165"/>
    <n v="588500"/>
    <x v="1"/>
  </r>
  <r>
    <x v="68"/>
    <x v="3"/>
    <x v="1"/>
    <x v="1"/>
    <x v="1"/>
    <n v="29"/>
    <n v="130"/>
    <n v="50"/>
    <n v="8179"/>
    <x v="166"/>
    <n v="422791"/>
    <x v="0"/>
  </r>
  <r>
    <x v="108"/>
    <x v="2"/>
    <x v="1"/>
    <x v="0"/>
    <x v="2"/>
    <n v="77"/>
    <n v="39"/>
    <n v="52"/>
    <n v="34315"/>
    <x v="167"/>
    <n v="2819586"/>
    <x v="2"/>
  </r>
  <r>
    <x v="66"/>
    <x v="2"/>
    <x v="1"/>
    <x v="3"/>
    <x v="2"/>
    <n v="76"/>
    <n v="104"/>
    <n v="34"/>
    <n v="44306"/>
    <x v="168"/>
    <n v="3825156"/>
    <x v="2"/>
  </r>
  <r>
    <x v="69"/>
    <x v="6"/>
    <x v="1"/>
    <x v="2"/>
    <x v="2"/>
    <n v="31"/>
    <n v="67"/>
    <n v="114"/>
    <n v="38897"/>
    <x v="169"/>
    <n v="1452226"/>
    <x v="1"/>
  </r>
  <r>
    <x v="109"/>
    <x v="5"/>
    <x v="1"/>
    <x v="3"/>
    <x v="0"/>
    <n v="6"/>
    <n v="71"/>
    <n v="54"/>
    <n v="38436"/>
    <x v="170"/>
    <n v="232824"/>
    <x v="1"/>
  </r>
  <r>
    <x v="110"/>
    <x v="2"/>
    <x v="1"/>
    <x v="2"/>
    <x v="3"/>
    <n v="69"/>
    <n v="94"/>
    <n v="87"/>
    <n v="46322"/>
    <x v="171"/>
    <n v="3470562"/>
    <x v="0"/>
  </r>
  <r>
    <x v="111"/>
    <x v="5"/>
    <x v="1"/>
    <x v="2"/>
    <x v="0"/>
    <n v="96"/>
    <n v="62"/>
    <n v="112"/>
    <n v="13502"/>
    <x v="172"/>
    <n v="1353216"/>
    <x v="0"/>
  </r>
  <r>
    <x v="112"/>
    <x v="3"/>
    <x v="1"/>
    <x v="2"/>
    <x v="2"/>
    <n v="32"/>
    <n v="150"/>
    <n v="61"/>
    <n v="32768"/>
    <x v="173"/>
    <n v="1239552"/>
    <x v="0"/>
  </r>
  <r>
    <x v="83"/>
    <x v="0"/>
    <x v="0"/>
    <x v="1"/>
    <x v="3"/>
    <n v="24"/>
    <n v="108"/>
    <n v="78"/>
    <n v="21831"/>
    <x v="174"/>
    <n v="594456"/>
    <x v="1"/>
  </r>
  <r>
    <x v="86"/>
    <x v="1"/>
    <x v="1"/>
    <x v="3"/>
    <x v="1"/>
    <n v="37"/>
    <n v="77"/>
    <n v="29"/>
    <n v="14377"/>
    <x v="175"/>
    <n v="555296"/>
    <x v="2"/>
  </r>
  <r>
    <x v="64"/>
    <x v="1"/>
    <x v="1"/>
    <x v="1"/>
    <x v="3"/>
    <n v="58"/>
    <n v="43"/>
    <n v="97"/>
    <n v="20104"/>
    <x v="176"/>
    <n v="1358766"/>
    <x v="0"/>
  </r>
  <r>
    <x v="58"/>
    <x v="5"/>
    <x v="1"/>
    <x v="2"/>
    <x v="2"/>
    <n v="17"/>
    <n v="114"/>
    <n v="10"/>
    <n v="13033"/>
    <x v="177"/>
    <n v="310420"/>
    <x v="2"/>
  </r>
  <r>
    <x v="75"/>
    <x v="0"/>
    <x v="0"/>
    <x v="2"/>
    <x v="0"/>
    <n v="12"/>
    <n v="116"/>
    <n v="55"/>
    <n v="13695"/>
    <x v="178"/>
    <n v="219648"/>
    <x v="1"/>
  </r>
  <r>
    <x v="90"/>
    <x v="1"/>
    <x v="1"/>
    <x v="0"/>
    <x v="1"/>
    <n v="82"/>
    <n v="84"/>
    <n v="7"/>
    <n v="5418"/>
    <x v="179"/>
    <n v="820246"/>
    <x v="2"/>
  </r>
  <r>
    <x v="113"/>
    <x v="6"/>
    <x v="1"/>
    <x v="2"/>
    <x v="1"/>
    <n v="20"/>
    <n v="94"/>
    <n v="75"/>
    <n v="30317"/>
    <x v="180"/>
    <n v="638840"/>
    <x v="1"/>
  </r>
  <r>
    <x v="84"/>
    <x v="4"/>
    <x v="1"/>
    <x v="0"/>
    <x v="3"/>
    <n v="50"/>
    <n v="133"/>
    <n v="114"/>
    <n v="41632"/>
    <x v="181"/>
    <n v="2264650"/>
    <x v="1"/>
  </r>
  <r>
    <x v="114"/>
    <x v="1"/>
    <x v="1"/>
    <x v="3"/>
    <x v="0"/>
    <n v="64"/>
    <n v="84"/>
    <n v="42"/>
    <n v="31475"/>
    <x v="182"/>
    <n v="2353408"/>
    <x v="2"/>
  </r>
  <r>
    <x v="115"/>
    <x v="6"/>
    <x v="1"/>
    <x v="1"/>
    <x v="3"/>
    <n v="41"/>
    <n v="147"/>
    <n v="42"/>
    <n v="10656"/>
    <x v="183"/>
    <n v="720821"/>
    <x v="0"/>
  </r>
  <r>
    <x v="94"/>
    <x v="5"/>
    <x v="1"/>
    <x v="0"/>
    <x v="3"/>
    <n v="92"/>
    <n v="71"/>
    <n v="40"/>
    <n v="41953"/>
    <x v="184"/>
    <n v="4104120"/>
    <x v="2"/>
  </r>
  <r>
    <x v="101"/>
    <x v="7"/>
    <x v="0"/>
    <x v="2"/>
    <x v="3"/>
    <n v="51"/>
    <n v="21"/>
    <n v="43"/>
    <n v="49566"/>
    <x v="185"/>
    <n v="2980440"/>
    <x v="2"/>
  </r>
  <r>
    <x v="23"/>
    <x v="5"/>
    <x v="1"/>
    <x v="2"/>
    <x v="3"/>
    <n v="77"/>
    <n v="126"/>
    <n v="37"/>
    <n v="26894"/>
    <x v="186"/>
    <n v="2177714"/>
    <x v="2"/>
  </r>
  <r>
    <x v="116"/>
    <x v="3"/>
    <x v="1"/>
    <x v="1"/>
    <x v="1"/>
    <n v="28"/>
    <n v="78"/>
    <n v="29"/>
    <n v="8275"/>
    <x v="187"/>
    <n v="298116"/>
    <x v="0"/>
  </r>
  <r>
    <x v="21"/>
    <x v="2"/>
    <x v="1"/>
    <x v="2"/>
    <x v="1"/>
    <n v="32"/>
    <n v="130"/>
    <n v="11"/>
    <n v="4335"/>
    <x v="188"/>
    <n v="342912"/>
    <x v="2"/>
  </r>
  <r>
    <x v="117"/>
    <x v="7"/>
    <x v="0"/>
    <x v="0"/>
    <x v="2"/>
    <n v="61"/>
    <n v="92"/>
    <n v="54"/>
    <n v="7176"/>
    <x v="189"/>
    <n v="818437"/>
    <x v="2"/>
  </r>
  <r>
    <x v="37"/>
    <x v="4"/>
    <x v="1"/>
    <x v="2"/>
    <x v="0"/>
    <n v="81"/>
    <n v="59"/>
    <n v="103"/>
    <n v="11994"/>
    <x v="190"/>
    <n v="1389312"/>
    <x v="0"/>
  </r>
  <r>
    <x v="5"/>
    <x v="3"/>
    <x v="1"/>
    <x v="1"/>
    <x v="1"/>
    <n v="75"/>
    <n v="97"/>
    <n v="89"/>
    <n v="22085"/>
    <x v="191"/>
    <n v="1839600"/>
    <x v="0"/>
  </r>
  <r>
    <x v="5"/>
    <x v="1"/>
    <x v="1"/>
    <x v="3"/>
    <x v="1"/>
    <n v="96"/>
    <n v="105"/>
    <n v="23"/>
    <n v="33880"/>
    <x v="192"/>
    <n v="3818016"/>
    <x v="2"/>
  </r>
  <r>
    <x v="118"/>
    <x v="0"/>
    <x v="0"/>
    <x v="1"/>
    <x v="2"/>
    <n v="16"/>
    <n v="121"/>
    <n v="23"/>
    <n v="9895"/>
    <x v="193"/>
    <n v="311184"/>
    <x v="0"/>
  </r>
  <r>
    <x v="25"/>
    <x v="3"/>
    <x v="1"/>
    <x v="2"/>
    <x v="3"/>
    <n v="12"/>
    <n v="68"/>
    <n v="114"/>
    <n v="19492"/>
    <x v="194"/>
    <n v="328920"/>
    <x v="1"/>
  </r>
  <r>
    <x v="67"/>
    <x v="5"/>
    <x v="1"/>
    <x v="1"/>
    <x v="2"/>
    <n v="94"/>
    <n v="26"/>
    <n v="95"/>
    <n v="8493"/>
    <x v="195"/>
    <n v="1705160"/>
    <x v="0"/>
  </r>
  <r>
    <x v="101"/>
    <x v="5"/>
    <x v="1"/>
    <x v="1"/>
    <x v="1"/>
    <n v="18"/>
    <n v="25"/>
    <n v="116"/>
    <n v="36824"/>
    <x v="196"/>
    <n v="788796"/>
    <x v="1"/>
  </r>
  <r>
    <x v="77"/>
    <x v="0"/>
    <x v="0"/>
    <x v="1"/>
    <x v="1"/>
    <n v="36"/>
    <n v="71"/>
    <n v="32"/>
    <n v="27530"/>
    <x v="197"/>
    <n v="1049580"/>
    <x v="2"/>
  </r>
  <r>
    <x v="60"/>
    <x v="4"/>
    <x v="1"/>
    <x v="3"/>
    <x v="0"/>
    <n v="90"/>
    <n v="41"/>
    <n v="51"/>
    <n v="21224"/>
    <x v="198"/>
    <n v="219258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74BF5C-1B66-4F1C-95A8-A9A4A466A87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3:C14" firstHeaderRow="1" firstDataRow="1" firstDataCol="0"/>
  <pivotFields count="16">
    <pivotField numFmtId="14" showAll="0">
      <items count="120">
        <item x="46"/>
        <item x="115"/>
        <item x="41"/>
        <item x="27"/>
        <item x="76"/>
        <item x="61"/>
        <item x="101"/>
        <item x="25"/>
        <item x="54"/>
        <item x="114"/>
        <item x="56"/>
        <item x="44"/>
        <item x="2"/>
        <item x="23"/>
        <item x="110"/>
        <item x="116"/>
        <item x="52"/>
        <item x="103"/>
        <item x="63"/>
        <item x="106"/>
        <item x="98"/>
        <item x="18"/>
        <item x="55"/>
        <item x="62"/>
        <item x="15"/>
        <item x="4"/>
        <item x="49"/>
        <item x="81"/>
        <item x="95"/>
        <item x="17"/>
        <item x="67"/>
        <item x="111"/>
        <item x="117"/>
        <item x="31"/>
        <item x="1"/>
        <item x="60"/>
        <item x="22"/>
        <item x="79"/>
        <item x="82"/>
        <item x="87"/>
        <item x="50"/>
        <item x="99"/>
        <item x="19"/>
        <item x="59"/>
        <item x="14"/>
        <item x="66"/>
        <item x="85"/>
        <item x="97"/>
        <item x="6"/>
        <item x="102"/>
        <item x="89"/>
        <item x="88"/>
        <item x="86"/>
        <item x="24"/>
        <item x="13"/>
        <item x="30"/>
        <item x="42"/>
        <item x="37"/>
        <item x="16"/>
        <item x="69"/>
        <item x="73"/>
        <item x="3"/>
        <item x="75"/>
        <item x="84"/>
        <item x="5"/>
        <item x="43"/>
        <item x="36"/>
        <item x="38"/>
        <item x="40"/>
        <item x="65"/>
        <item x="12"/>
        <item x="64"/>
        <item x="11"/>
        <item x="80"/>
        <item x="90"/>
        <item x="0"/>
        <item x="109"/>
        <item x="8"/>
        <item x="108"/>
        <item x="28"/>
        <item x="71"/>
        <item x="94"/>
        <item x="32"/>
        <item x="77"/>
        <item x="7"/>
        <item x="104"/>
        <item x="72"/>
        <item x="10"/>
        <item x="20"/>
        <item x="47"/>
        <item x="9"/>
        <item x="78"/>
        <item x="26"/>
        <item x="53"/>
        <item x="51"/>
        <item x="70"/>
        <item x="68"/>
        <item x="83"/>
        <item x="58"/>
        <item x="92"/>
        <item x="113"/>
        <item x="33"/>
        <item x="112"/>
        <item x="39"/>
        <item x="74"/>
        <item x="105"/>
        <item x="91"/>
        <item x="48"/>
        <item x="21"/>
        <item x="29"/>
        <item x="45"/>
        <item x="96"/>
        <item x="93"/>
        <item x="118"/>
        <item x="34"/>
        <item x="35"/>
        <item x="57"/>
        <item x="100"/>
        <item x="107"/>
        <item t="default"/>
      </items>
    </pivotField>
    <pivotField showAll="0">
      <items count="9">
        <item x="0"/>
        <item x="3"/>
        <item x="2"/>
        <item x="5"/>
        <item x="1"/>
        <item x="4"/>
        <item x="6"/>
        <item x="7"/>
        <item t="default"/>
      </items>
    </pivotField>
    <pivotField showAll="0">
      <items count="3">
        <item x="1"/>
        <item x="0"/>
        <item t="default"/>
      </items>
    </pivotField>
    <pivotField showAll="0">
      <items count="5">
        <item x="3"/>
        <item x="0"/>
        <item x="2"/>
        <item x="1"/>
        <item t="default"/>
      </items>
    </pivotField>
    <pivotField showAll="0"/>
    <pivotField showAll="0"/>
    <pivotField showAll="0"/>
    <pivotField showAll="0"/>
    <pivotField showAll="0"/>
    <pivotField showAll="0"/>
    <pivotField dataField="1" showAll="0"/>
    <pivotField showAll="0">
      <items count="4">
        <item x="1"/>
        <item x="2"/>
        <item x="0"/>
        <item t="default"/>
      </items>
    </pivotField>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Revenue" fld="10" baseField="0" baseItem="0" numFmtId="164"/>
  </dataFields>
  <formats count="3">
    <format dxfId="854">
      <pivotArea type="all" dataOnly="0" outline="0" fieldPosition="0"/>
    </format>
    <format dxfId="853">
      <pivotArea outline="0" collapsedLevelsAreSubtotals="1" fieldPosition="0"/>
    </format>
    <format dxfId="85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88395E-ACEC-4EC1-B337-11A5D7DE392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D1:E4" firstHeaderRow="1" firstDataRow="1" firstDataCol="1"/>
  <pivotFields count="16">
    <pivotField numFmtId="14" showAll="0">
      <items count="120">
        <item x="46"/>
        <item x="115"/>
        <item x="41"/>
        <item x="27"/>
        <item x="76"/>
        <item x="61"/>
        <item x="101"/>
        <item x="25"/>
        <item x="54"/>
        <item x="114"/>
        <item x="56"/>
        <item x="44"/>
        <item x="2"/>
        <item x="23"/>
        <item x="110"/>
        <item x="116"/>
        <item x="52"/>
        <item x="103"/>
        <item x="63"/>
        <item x="106"/>
        <item x="98"/>
        <item x="18"/>
        <item x="55"/>
        <item x="62"/>
        <item x="15"/>
        <item x="4"/>
        <item x="49"/>
        <item x="81"/>
        <item x="95"/>
        <item x="17"/>
        <item x="67"/>
        <item x="111"/>
        <item x="117"/>
        <item x="31"/>
        <item x="1"/>
        <item x="60"/>
        <item x="22"/>
        <item x="79"/>
        <item x="82"/>
        <item x="87"/>
        <item x="50"/>
        <item x="99"/>
        <item x="19"/>
        <item x="59"/>
        <item x="14"/>
        <item x="66"/>
        <item x="85"/>
        <item x="97"/>
        <item x="6"/>
        <item x="102"/>
        <item x="89"/>
        <item x="88"/>
        <item x="86"/>
        <item x="24"/>
        <item x="13"/>
        <item x="30"/>
        <item x="42"/>
        <item x="37"/>
        <item x="16"/>
        <item x="69"/>
        <item x="73"/>
        <item x="3"/>
        <item x="75"/>
        <item x="84"/>
        <item x="5"/>
        <item x="43"/>
        <item x="36"/>
        <item x="38"/>
        <item x="40"/>
        <item x="65"/>
        <item x="12"/>
        <item x="64"/>
        <item x="11"/>
        <item x="80"/>
        <item x="90"/>
        <item x="0"/>
        <item x="109"/>
        <item x="8"/>
        <item x="108"/>
        <item x="28"/>
        <item x="71"/>
        <item x="94"/>
        <item x="32"/>
        <item x="77"/>
        <item x="7"/>
        <item x="104"/>
        <item x="72"/>
        <item x="10"/>
        <item x="20"/>
        <item x="47"/>
        <item x="9"/>
        <item x="78"/>
        <item x="26"/>
        <item x="53"/>
        <item x="51"/>
        <item x="70"/>
        <item x="68"/>
        <item x="83"/>
        <item x="58"/>
        <item x="92"/>
        <item x="113"/>
        <item x="33"/>
        <item x="112"/>
        <item x="39"/>
        <item x="74"/>
        <item x="105"/>
        <item x="91"/>
        <item x="48"/>
        <item x="21"/>
        <item x="29"/>
        <item x="45"/>
        <item x="96"/>
        <item x="93"/>
        <item x="118"/>
        <item x="34"/>
        <item x="35"/>
        <item x="57"/>
        <item x="100"/>
        <item x="107"/>
        <item t="default"/>
      </items>
    </pivotField>
    <pivotField showAll="0">
      <items count="9">
        <item x="0"/>
        <item x="3"/>
        <item x="2"/>
        <item x="5"/>
        <item x="1"/>
        <item x="4"/>
        <item x="6"/>
        <item x="7"/>
        <item t="default"/>
      </items>
    </pivotField>
    <pivotField axis="axisRow" showAll="0">
      <items count="3">
        <item x="1"/>
        <item x="0"/>
        <item t="default"/>
      </items>
    </pivotField>
    <pivotField showAll="0">
      <items count="5">
        <item x="3"/>
        <item x="0"/>
        <item x="2"/>
        <item x="1"/>
        <item t="default"/>
      </items>
    </pivotField>
    <pivotField showAll="0"/>
    <pivotField showAll="0"/>
    <pivotField showAll="0"/>
    <pivotField showAll="0"/>
    <pivotField showAll="0"/>
    <pivotField showAll="0"/>
    <pivotField dataField="1" showAll="0"/>
    <pivotField showAll="0">
      <items count="4">
        <item x="1"/>
        <item x="2"/>
        <item x="0"/>
        <item t="default"/>
      </items>
    </pivotField>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3">
    <i>
      <x/>
    </i>
    <i>
      <x v="1"/>
    </i>
    <i t="grand">
      <x/>
    </i>
  </rowItems>
  <colItems count="1">
    <i/>
  </colItems>
  <dataFields count="1">
    <dataField name="Sum of Total Revenue"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781261-1796-4CC4-BAD0-494531BBC9C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10" firstHeaderRow="1" firstDataRow="1" firstDataCol="1"/>
  <pivotFields count="16">
    <pivotField numFmtId="14" showAll="0">
      <items count="120">
        <item x="46"/>
        <item x="115"/>
        <item x="41"/>
        <item x="27"/>
        <item x="76"/>
        <item x="61"/>
        <item x="101"/>
        <item x="25"/>
        <item x="54"/>
        <item x="114"/>
        <item x="56"/>
        <item x="44"/>
        <item x="2"/>
        <item x="23"/>
        <item x="110"/>
        <item x="116"/>
        <item x="52"/>
        <item x="103"/>
        <item x="63"/>
        <item x="106"/>
        <item x="98"/>
        <item x="18"/>
        <item x="55"/>
        <item x="62"/>
        <item x="15"/>
        <item x="4"/>
        <item x="49"/>
        <item x="81"/>
        <item x="95"/>
        <item x="17"/>
        <item x="67"/>
        <item x="111"/>
        <item x="117"/>
        <item x="31"/>
        <item x="1"/>
        <item x="60"/>
        <item x="22"/>
        <item x="79"/>
        <item x="82"/>
        <item x="87"/>
        <item x="50"/>
        <item x="99"/>
        <item x="19"/>
        <item x="59"/>
        <item x="14"/>
        <item x="66"/>
        <item x="85"/>
        <item x="97"/>
        <item x="6"/>
        <item x="102"/>
        <item x="89"/>
        <item x="88"/>
        <item x="86"/>
        <item x="24"/>
        <item x="13"/>
        <item x="30"/>
        <item x="42"/>
        <item x="37"/>
        <item x="16"/>
        <item x="69"/>
        <item x="73"/>
        <item x="3"/>
        <item x="75"/>
        <item x="84"/>
        <item x="5"/>
        <item x="43"/>
        <item x="36"/>
        <item x="38"/>
        <item x="40"/>
        <item x="65"/>
        <item x="12"/>
        <item x="64"/>
        <item x="11"/>
        <item x="80"/>
        <item x="90"/>
        <item x="0"/>
        <item x="109"/>
        <item x="8"/>
        <item x="108"/>
        <item x="28"/>
        <item x="71"/>
        <item x="94"/>
        <item x="32"/>
        <item x="77"/>
        <item x="7"/>
        <item x="104"/>
        <item x="72"/>
        <item x="10"/>
        <item x="20"/>
        <item x="47"/>
        <item x="9"/>
        <item x="78"/>
        <item x="26"/>
        <item x="53"/>
        <item x="51"/>
        <item x="70"/>
        <item x="68"/>
        <item x="83"/>
        <item x="58"/>
        <item x="92"/>
        <item x="113"/>
        <item x="33"/>
        <item x="112"/>
        <item x="39"/>
        <item x="74"/>
        <item x="105"/>
        <item x="91"/>
        <item x="48"/>
        <item x="21"/>
        <item x="29"/>
        <item x="45"/>
        <item x="96"/>
        <item x="93"/>
        <item x="118"/>
        <item x="34"/>
        <item x="35"/>
        <item x="57"/>
        <item x="100"/>
        <item x="107"/>
        <item t="default"/>
      </items>
    </pivotField>
    <pivotField axis="axisRow" showAll="0">
      <items count="9">
        <item x="0"/>
        <item x="3"/>
        <item x="2"/>
        <item x="5"/>
        <item x="1"/>
        <item x="4"/>
        <item x="6"/>
        <item x="7"/>
        <item t="default"/>
      </items>
    </pivotField>
    <pivotField showAll="0">
      <items count="3">
        <item x="1"/>
        <item x="0"/>
        <item t="default"/>
      </items>
    </pivotField>
    <pivotField showAll="0">
      <items count="5">
        <item x="3"/>
        <item x="0"/>
        <item x="2"/>
        <item x="1"/>
        <item t="default"/>
      </items>
    </pivotField>
    <pivotField showAll="0"/>
    <pivotField showAll="0"/>
    <pivotField showAll="0"/>
    <pivotField showAll="0"/>
    <pivotField showAll="0"/>
    <pivotField showAll="0"/>
    <pivotField dataField="1" showAll="0"/>
    <pivotField showAll="0">
      <items count="4">
        <item x="1"/>
        <item x="2"/>
        <item x="0"/>
        <item t="default"/>
      </items>
    </pivotField>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9">
    <i>
      <x/>
    </i>
    <i>
      <x v="1"/>
    </i>
    <i>
      <x v="2"/>
    </i>
    <i>
      <x v="3"/>
    </i>
    <i>
      <x v="4"/>
    </i>
    <i>
      <x v="5"/>
    </i>
    <i>
      <x v="6"/>
    </i>
    <i>
      <x v="7"/>
    </i>
    <i t="grand">
      <x/>
    </i>
  </rowItems>
  <colItems count="1">
    <i/>
  </colItems>
  <dataFields count="1">
    <dataField name="Sum of Total Revenue" fld="10" baseField="0" baseItem="0"/>
  </dataFields>
  <formats count="1">
    <format dxfId="863">
      <pivotArea grandRow="1"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000F4F-4C47-445E-8438-983A532391B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pivotFields count="16">
    <pivotField numFmtId="14" showAll="0">
      <items count="120">
        <item x="46"/>
        <item x="115"/>
        <item x="41"/>
        <item x="27"/>
        <item x="76"/>
        <item x="61"/>
        <item x="101"/>
        <item x="25"/>
        <item x="54"/>
        <item x="114"/>
        <item x="56"/>
        <item x="44"/>
        <item x="2"/>
        <item x="23"/>
        <item x="110"/>
        <item x="116"/>
        <item x="52"/>
        <item x="103"/>
        <item x="63"/>
        <item x="106"/>
        <item x="98"/>
        <item x="18"/>
        <item x="55"/>
        <item x="62"/>
        <item x="15"/>
        <item x="4"/>
        <item x="49"/>
        <item x="81"/>
        <item x="95"/>
        <item x="17"/>
        <item x="67"/>
        <item x="111"/>
        <item x="117"/>
        <item x="31"/>
        <item x="1"/>
        <item x="60"/>
        <item x="22"/>
        <item x="79"/>
        <item x="82"/>
        <item x="87"/>
        <item x="50"/>
        <item x="99"/>
        <item x="19"/>
        <item x="59"/>
        <item x="14"/>
        <item x="66"/>
        <item x="85"/>
        <item x="97"/>
        <item x="6"/>
        <item x="102"/>
        <item x="89"/>
        <item x="88"/>
        <item x="86"/>
        <item x="24"/>
        <item x="13"/>
        <item x="30"/>
        <item x="42"/>
        <item x="37"/>
        <item x="16"/>
        <item x="69"/>
        <item x="73"/>
        <item x="3"/>
        <item x="75"/>
        <item x="84"/>
        <item x="5"/>
        <item x="43"/>
        <item x="36"/>
        <item x="38"/>
        <item x="40"/>
        <item x="65"/>
        <item x="12"/>
        <item x="64"/>
        <item x="11"/>
        <item x="80"/>
        <item x="90"/>
        <item x="0"/>
        <item x="109"/>
        <item x="8"/>
        <item x="108"/>
        <item x="28"/>
        <item x="71"/>
        <item x="94"/>
        <item x="32"/>
        <item x="77"/>
        <item x="7"/>
        <item x="104"/>
        <item x="72"/>
        <item x="10"/>
        <item x="20"/>
        <item x="47"/>
        <item x="9"/>
        <item x="78"/>
        <item x="26"/>
        <item x="53"/>
        <item x="51"/>
        <item x="70"/>
        <item x="68"/>
        <item x="83"/>
        <item x="58"/>
        <item x="92"/>
        <item x="113"/>
        <item x="33"/>
        <item x="112"/>
        <item x="39"/>
        <item x="74"/>
        <item x="105"/>
        <item x="91"/>
        <item x="48"/>
        <item x="21"/>
        <item x="29"/>
        <item x="45"/>
        <item x="96"/>
        <item x="93"/>
        <item x="118"/>
        <item x="34"/>
        <item x="35"/>
        <item x="57"/>
        <item x="100"/>
        <item x="107"/>
        <item t="default"/>
      </items>
    </pivotField>
    <pivotField dataField="1" showAll="0">
      <items count="9">
        <item x="0"/>
        <item x="3"/>
        <item x="2"/>
        <item x="5"/>
        <item x="1"/>
        <item x="4"/>
        <item x="6"/>
        <item x="7"/>
        <item t="default"/>
      </items>
    </pivotField>
    <pivotField showAll="0">
      <items count="3">
        <item x="1"/>
        <item x="0"/>
        <item t="default"/>
      </items>
    </pivotField>
    <pivotField showAll="0">
      <items count="5">
        <item x="3"/>
        <item x="0"/>
        <item x="2"/>
        <item x="1"/>
        <item t="default"/>
      </items>
    </pivotField>
    <pivotField showAll="0"/>
    <pivotField showAll="0"/>
    <pivotField showAll="0"/>
    <pivotField showAll="0"/>
    <pivotField showAll="0"/>
    <pivotField showAll="0"/>
    <pivotField showAll="0"/>
    <pivotField showAll="0">
      <items count="4">
        <item x="1"/>
        <item x="2"/>
        <item x="0"/>
        <item t="default"/>
      </items>
    </pivotField>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Product"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CCFA80-2AAB-46F0-9CB7-1D2F296B76D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
  <location ref="D6:E11" firstHeaderRow="1" firstDataRow="1" firstDataCol="1"/>
  <pivotFields count="16">
    <pivotField numFmtId="14" showAll="0">
      <items count="120">
        <item x="46"/>
        <item x="115"/>
        <item x="41"/>
        <item x="27"/>
        <item x="76"/>
        <item x="61"/>
        <item x="101"/>
        <item x="25"/>
        <item x="54"/>
        <item x="114"/>
        <item x="56"/>
        <item x="44"/>
        <item x="2"/>
        <item x="23"/>
        <item x="110"/>
        <item x="116"/>
        <item x="52"/>
        <item x="103"/>
        <item x="63"/>
        <item x="106"/>
        <item x="98"/>
        <item x="18"/>
        <item x="55"/>
        <item x="62"/>
        <item x="15"/>
        <item x="4"/>
        <item x="49"/>
        <item x="81"/>
        <item x="95"/>
        <item x="17"/>
        <item x="67"/>
        <item x="111"/>
        <item x="117"/>
        <item x="31"/>
        <item x="1"/>
        <item x="60"/>
        <item x="22"/>
        <item x="79"/>
        <item x="82"/>
        <item x="87"/>
        <item x="50"/>
        <item x="99"/>
        <item x="19"/>
        <item x="59"/>
        <item x="14"/>
        <item x="66"/>
        <item x="85"/>
        <item x="97"/>
        <item x="6"/>
        <item x="102"/>
        <item x="89"/>
        <item x="88"/>
        <item x="86"/>
        <item x="24"/>
        <item x="13"/>
        <item x="30"/>
        <item x="42"/>
        <item x="37"/>
        <item x="16"/>
        <item x="69"/>
        <item x="73"/>
        <item x="3"/>
        <item x="75"/>
        <item x="84"/>
        <item x="5"/>
        <item x="43"/>
        <item x="36"/>
        <item x="38"/>
        <item x="40"/>
        <item x="65"/>
        <item x="12"/>
        <item x="64"/>
        <item x="11"/>
        <item x="80"/>
        <item x="90"/>
        <item x="0"/>
        <item x="109"/>
        <item x="8"/>
        <item x="108"/>
        <item x="28"/>
        <item x="71"/>
        <item x="94"/>
        <item x="32"/>
        <item x="77"/>
        <item x="7"/>
        <item x="104"/>
        <item x="72"/>
        <item x="10"/>
        <item x="20"/>
        <item x="47"/>
        <item x="9"/>
        <item x="78"/>
        <item x="26"/>
        <item x="53"/>
        <item x="51"/>
        <item x="70"/>
        <item x="68"/>
        <item x="83"/>
        <item x="58"/>
        <item x="92"/>
        <item x="113"/>
        <item x="33"/>
        <item x="112"/>
        <item x="39"/>
        <item x="74"/>
        <item x="105"/>
        <item x="91"/>
        <item x="48"/>
        <item x="21"/>
        <item x="29"/>
        <item x="45"/>
        <item x="96"/>
        <item x="93"/>
        <item x="118"/>
        <item x="34"/>
        <item x="35"/>
        <item x="57"/>
        <item x="100"/>
        <item x="107"/>
        <item t="default"/>
      </items>
    </pivotField>
    <pivotField showAll="0">
      <items count="9">
        <item x="0"/>
        <item x="3"/>
        <item x="2"/>
        <item x="5"/>
        <item x="1"/>
        <item x="4"/>
        <item x="6"/>
        <item x="7"/>
        <item t="default"/>
      </items>
    </pivotField>
    <pivotField showAll="0">
      <items count="3">
        <item x="1"/>
        <item x="0"/>
        <item t="default"/>
      </items>
    </pivotField>
    <pivotField showAll="0">
      <items count="5">
        <item x="3"/>
        <item x="0"/>
        <item x="2"/>
        <item x="1"/>
        <item t="default"/>
      </items>
    </pivotField>
    <pivotField axis="axisRow" showAll="0">
      <items count="5">
        <item x="1"/>
        <item x="2"/>
        <item x="3"/>
        <item x="0"/>
        <item t="default"/>
      </items>
    </pivotField>
    <pivotField showAll="0"/>
    <pivotField showAll="0"/>
    <pivotField showAll="0"/>
    <pivotField showAll="0"/>
    <pivotField showAll="0"/>
    <pivotField dataField="1" showAll="0"/>
    <pivotField showAll="0">
      <items count="4">
        <item x="1"/>
        <item x="2"/>
        <item x="0"/>
        <item t="default"/>
      </items>
    </pivotField>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Total Revenue" fld="10"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 chart="3" format="9">
      <pivotArea type="data" outline="0" fieldPosition="0">
        <references count="2">
          <reference field="4294967294" count="1" selected="0">
            <x v="0"/>
          </reference>
          <reference field="4" count="1" selected="0">
            <x v="2"/>
          </reference>
        </references>
      </pivotArea>
    </chartFormat>
    <chartFormat chart="3"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A5A74D-DDD3-4A1E-BEF6-6AD3FB685B9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upplier">
  <location ref="G1:H6" firstHeaderRow="1" firstDataRow="1" firstDataCol="1"/>
  <pivotFields count="16">
    <pivotField numFmtId="14" showAll="0">
      <items count="120">
        <item x="46"/>
        <item x="115"/>
        <item x="41"/>
        <item x="27"/>
        <item x="76"/>
        <item x="61"/>
        <item x="101"/>
        <item x="25"/>
        <item x="54"/>
        <item x="114"/>
        <item x="56"/>
        <item x="44"/>
        <item x="2"/>
        <item x="23"/>
        <item x="110"/>
        <item x="116"/>
        <item x="52"/>
        <item x="103"/>
        <item x="63"/>
        <item x="106"/>
        <item x="98"/>
        <item x="18"/>
        <item x="55"/>
        <item x="62"/>
        <item x="15"/>
        <item x="4"/>
        <item x="49"/>
        <item x="81"/>
        <item x="95"/>
        <item x="17"/>
        <item x="67"/>
        <item x="111"/>
        <item x="117"/>
        <item x="31"/>
        <item x="1"/>
        <item x="60"/>
        <item x="22"/>
        <item x="79"/>
        <item x="82"/>
        <item x="87"/>
        <item x="50"/>
        <item x="99"/>
        <item x="19"/>
        <item x="59"/>
        <item x="14"/>
        <item x="66"/>
        <item x="85"/>
        <item x="97"/>
        <item x="6"/>
        <item x="102"/>
        <item x="89"/>
        <item x="88"/>
        <item x="86"/>
        <item x="24"/>
        <item x="13"/>
        <item x="30"/>
        <item x="42"/>
        <item x="37"/>
        <item x="16"/>
        <item x="69"/>
        <item x="73"/>
        <item x="3"/>
        <item x="75"/>
        <item x="84"/>
        <item x="5"/>
        <item x="43"/>
        <item x="36"/>
        <item x="38"/>
        <item x="40"/>
        <item x="65"/>
        <item x="12"/>
        <item x="64"/>
        <item x="11"/>
        <item x="80"/>
        <item x="90"/>
        <item x="0"/>
        <item x="109"/>
        <item x="8"/>
        <item x="108"/>
        <item x="28"/>
        <item x="71"/>
        <item x="94"/>
        <item x="32"/>
        <item x="77"/>
        <item x="7"/>
        <item x="104"/>
        <item x="72"/>
        <item x="10"/>
        <item x="20"/>
        <item x="47"/>
        <item x="9"/>
        <item x="78"/>
        <item x="26"/>
        <item x="53"/>
        <item x="51"/>
        <item x="70"/>
        <item x="68"/>
        <item x="83"/>
        <item x="58"/>
        <item x="92"/>
        <item x="113"/>
        <item x="33"/>
        <item x="112"/>
        <item x="39"/>
        <item x="74"/>
        <item x="105"/>
        <item x="91"/>
        <item x="48"/>
        <item x="21"/>
        <item x="29"/>
        <item x="45"/>
        <item x="96"/>
        <item x="93"/>
        <item x="118"/>
        <item x="34"/>
        <item x="35"/>
        <item x="57"/>
        <item x="100"/>
        <item x="107"/>
        <item t="default"/>
      </items>
    </pivotField>
    <pivotField showAll="0">
      <items count="9">
        <item x="0"/>
        <item x="3"/>
        <item x="2"/>
        <item x="5"/>
        <item x="1"/>
        <item x="4"/>
        <item x="6"/>
        <item x="7"/>
        <item t="default"/>
      </items>
    </pivotField>
    <pivotField showAll="0">
      <items count="3">
        <item x="1"/>
        <item x="0"/>
        <item t="default"/>
      </items>
    </pivotField>
    <pivotField axis="axisRow" showAll="0">
      <items count="5">
        <item x="3"/>
        <item x="0"/>
        <item x="2"/>
        <item x="1"/>
        <item t="default"/>
      </items>
    </pivotField>
    <pivotField showAll="0"/>
    <pivotField showAll="0"/>
    <pivotField showAll="0"/>
    <pivotField showAll="0"/>
    <pivotField showAll="0"/>
    <pivotField showAll="0"/>
    <pivotField dataField="1" showAll="0"/>
    <pivotField showAll="0">
      <items count="4">
        <item x="1"/>
        <item x="2"/>
        <item x="0"/>
        <item t="default"/>
      </items>
    </pivotField>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Total Revenue"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C315436-8B7E-43CD-92A5-120F3B66A5A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6:G11" firstHeaderRow="1" firstDataRow="1" firstDataCol="1"/>
  <pivotFields count="16">
    <pivotField numFmtId="14" showAll="0">
      <items count="120">
        <item x="46"/>
        <item x="115"/>
        <item x="41"/>
        <item x="27"/>
        <item x="76"/>
        <item x="61"/>
        <item x="101"/>
        <item x="25"/>
        <item x="54"/>
        <item x="114"/>
        <item x="56"/>
        <item x="44"/>
        <item x="2"/>
        <item x="23"/>
        <item x="110"/>
        <item x="116"/>
        <item x="52"/>
        <item x="103"/>
        <item x="63"/>
        <item x="106"/>
        <item x="98"/>
        <item x="18"/>
        <item x="55"/>
        <item x="62"/>
        <item x="15"/>
        <item x="4"/>
        <item x="49"/>
        <item x="81"/>
        <item x="95"/>
        <item x="17"/>
        <item x="67"/>
        <item x="111"/>
        <item x="117"/>
        <item x="31"/>
        <item x="1"/>
        <item x="60"/>
        <item x="22"/>
        <item x="79"/>
        <item x="82"/>
        <item x="87"/>
        <item x="50"/>
        <item x="99"/>
        <item x="19"/>
        <item x="59"/>
        <item x="14"/>
        <item x="66"/>
        <item x="85"/>
        <item x="97"/>
        <item x="6"/>
        <item x="102"/>
        <item x="89"/>
        <item x="88"/>
        <item x="86"/>
        <item x="24"/>
        <item x="13"/>
        <item x="30"/>
        <item x="42"/>
        <item x="37"/>
        <item x="16"/>
        <item x="69"/>
        <item x="73"/>
        <item x="3"/>
        <item x="75"/>
        <item x="84"/>
        <item x="5"/>
        <item x="43"/>
        <item x="36"/>
        <item x="38"/>
        <item x="40"/>
        <item x="65"/>
        <item x="12"/>
        <item x="64"/>
        <item x="11"/>
        <item x="80"/>
        <item x="90"/>
        <item x="0"/>
        <item x="109"/>
        <item x="8"/>
        <item x="108"/>
        <item x="28"/>
        <item x="71"/>
        <item x="94"/>
        <item x="32"/>
        <item x="77"/>
        <item x="7"/>
        <item x="104"/>
        <item x="72"/>
        <item x="10"/>
        <item x="20"/>
        <item x="47"/>
        <item x="9"/>
        <item x="78"/>
        <item x="26"/>
        <item x="53"/>
        <item x="51"/>
        <item x="70"/>
        <item x="68"/>
        <item x="83"/>
        <item x="58"/>
        <item x="92"/>
        <item x="113"/>
        <item x="33"/>
        <item x="112"/>
        <item x="39"/>
        <item x="74"/>
        <item x="105"/>
        <item x="91"/>
        <item x="48"/>
        <item x="21"/>
        <item x="29"/>
        <item x="45"/>
        <item x="96"/>
        <item x="93"/>
        <item x="118"/>
        <item x="34"/>
        <item x="35"/>
        <item x="57"/>
        <item x="100"/>
        <item x="107"/>
        <item t="default"/>
      </items>
    </pivotField>
    <pivotField showAll="0">
      <items count="9">
        <item x="0"/>
        <item x="3"/>
        <item x="2"/>
        <item x="5"/>
        <item x="1"/>
        <item x="4"/>
        <item x="6"/>
        <item x="7"/>
        <item t="default"/>
      </items>
    </pivotField>
    <pivotField showAll="0">
      <items count="3">
        <item x="1"/>
        <item x="0"/>
        <item t="default"/>
      </items>
    </pivotField>
    <pivotField showAll="0">
      <items count="5">
        <item x="3"/>
        <item x="0"/>
        <item x="2"/>
        <item x="1"/>
        <item t="default"/>
      </items>
    </pivotField>
    <pivotField axis="axisRow" showAll="0">
      <items count="5">
        <item x="1"/>
        <item x="2"/>
        <item x="3"/>
        <item x="0"/>
        <item t="default"/>
      </items>
    </pivotField>
    <pivotField showAll="0"/>
    <pivotField showAll="0"/>
    <pivotField showAll="0"/>
    <pivotField showAll="0"/>
    <pivotField showAll="0"/>
    <pivotField showAll="0"/>
    <pivotField showAll="0">
      <items count="4">
        <item x="1"/>
        <item x="2"/>
        <item x="0"/>
        <item t="default"/>
      </items>
    </pivotField>
    <pivotField dragToRow="0" dragToCol="0" dragToPage="0" showAll="0" defaultSubtotal="0"/>
    <pivotField dataField="1"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profit%" fld="13" baseField="0" baseItem="0" numFmtId="165"/>
  </dataFields>
  <formats count="2">
    <format dxfId="856">
      <pivotArea outline="0" collapsedLevelsAreSubtotals="1" fieldPosition="0">
        <references count="1">
          <reference field="4294967294" count="1" selected="0">
            <x v="0"/>
          </reference>
        </references>
      </pivotArea>
    </format>
    <format dxfId="855">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35A44B2-BF5F-4A63-99FC-E534EDD9C9A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G4" firstHeaderRow="1" firstDataRow="1" firstDataCol="1"/>
  <pivotFields count="16">
    <pivotField numFmtId="14" showAll="0">
      <items count="120">
        <item x="46"/>
        <item x="115"/>
        <item x="41"/>
        <item x="27"/>
        <item x="76"/>
        <item x="61"/>
        <item x="101"/>
        <item x="25"/>
        <item x="54"/>
        <item x="114"/>
        <item x="56"/>
        <item x="44"/>
        <item x="2"/>
        <item x="23"/>
        <item x="110"/>
        <item x="116"/>
        <item x="52"/>
        <item x="103"/>
        <item x="63"/>
        <item x="106"/>
        <item x="98"/>
        <item x="18"/>
        <item x="55"/>
        <item x="62"/>
        <item x="15"/>
        <item x="4"/>
        <item x="49"/>
        <item x="81"/>
        <item x="95"/>
        <item x="17"/>
        <item x="67"/>
        <item x="111"/>
        <item x="117"/>
        <item x="31"/>
        <item x="1"/>
        <item x="60"/>
        <item x="22"/>
        <item x="79"/>
        <item x="82"/>
        <item x="87"/>
        <item x="50"/>
        <item x="99"/>
        <item x="19"/>
        <item x="59"/>
        <item x="14"/>
        <item x="66"/>
        <item x="85"/>
        <item x="97"/>
        <item x="6"/>
        <item x="102"/>
        <item x="89"/>
        <item x="88"/>
        <item x="86"/>
        <item x="24"/>
        <item x="13"/>
        <item x="30"/>
        <item x="42"/>
        <item x="37"/>
        <item x="16"/>
        <item x="69"/>
        <item x="73"/>
        <item x="3"/>
        <item x="75"/>
        <item x="84"/>
        <item x="5"/>
        <item x="43"/>
        <item x="36"/>
        <item x="38"/>
        <item x="40"/>
        <item x="65"/>
        <item x="12"/>
        <item x="64"/>
        <item x="11"/>
        <item x="80"/>
        <item x="90"/>
        <item x="0"/>
        <item x="109"/>
        <item x="8"/>
        <item x="108"/>
        <item x="28"/>
        <item x="71"/>
        <item x="94"/>
        <item x="32"/>
        <item x="77"/>
        <item x="7"/>
        <item x="104"/>
        <item x="72"/>
        <item x="10"/>
        <item x="20"/>
        <item x="47"/>
        <item x="9"/>
        <item x="78"/>
        <item x="26"/>
        <item x="53"/>
        <item x="51"/>
        <item x="70"/>
        <item x="68"/>
        <item x="83"/>
        <item x="58"/>
        <item x="92"/>
        <item x="113"/>
        <item x="33"/>
        <item x="112"/>
        <item x="39"/>
        <item x="74"/>
        <item x="105"/>
        <item x="91"/>
        <item x="48"/>
        <item x="21"/>
        <item x="29"/>
        <item x="45"/>
        <item x="96"/>
        <item x="93"/>
        <item x="118"/>
        <item x="34"/>
        <item x="35"/>
        <item x="57"/>
        <item x="100"/>
        <item x="107"/>
        <item t="default"/>
      </items>
    </pivotField>
    <pivotField showAll="0">
      <items count="9">
        <item x="0"/>
        <item x="3"/>
        <item x="2"/>
        <item x="5"/>
        <item x="1"/>
        <item x="4"/>
        <item x="6"/>
        <item x="7"/>
        <item t="default"/>
      </items>
    </pivotField>
    <pivotField axis="axisRow" showAll="0">
      <items count="3">
        <item x="1"/>
        <item x="0"/>
        <item t="default"/>
      </items>
    </pivotField>
    <pivotField showAll="0">
      <items count="5">
        <item x="3"/>
        <item x="0"/>
        <item x="2"/>
        <item x="1"/>
        <item t="default"/>
      </items>
    </pivotField>
    <pivotField showAll="0"/>
    <pivotField showAll="0"/>
    <pivotField showAll="0"/>
    <pivotField showAll="0"/>
    <pivotField showAll="0"/>
    <pivotField showAll="0"/>
    <pivotField showAll="0"/>
    <pivotField showAll="0">
      <items count="4">
        <item x="1"/>
        <item x="2"/>
        <item x="0"/>
        <item t="default"/>
      </items>
    </pivotField>
    <pivotField dragToRow="0" dragToCol="0" dragToPage="0" showAll="0" defaultSubtotal="0"/>
    <pivotField dataField="1"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3">
    <i>
      <x/>
    </i>
    <i>
      <x v="1"/>
    </i>
    <i t="grand">
      <x/>
    </i>
  </rowItems>
  <colItems count="1">
    <i/>
  </colItems>
  <dataFields count="1">
    <dataField name="Sum of profit%" fld="13" baseField="0" baseItem="0" numFmtId="165"/>
  </dataFields>
  <formats count="2">
    <format dxfId="858">
      <pivotArea outline="0" collapsedLevelsAreSubtotals="1" fieldPosition="0">
        <references count="1">
          <reference field="4294967294" count="1" selected="0">
            <x v="0"/>
          </reference>
        </references>
      </pivotArea>
    </format>
    <format dxfId="857">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5DB8642-88F0-4470-A1C9-DE99B5DF19A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10" firstHeaderRow="0" firstDataRow="1" firstDataCol="1"/>
  <pivotFields count="16">
    <pivotField numFmtId="14" showAll="0">
      <items count="120">
        <item x="46"/>
        <item x="115"/>
        <item x="41"/>
        <item x="27"/>
        <item x="76"/>
        <item x="61"/>
        <item x="101"/>
        <item x="25"/>
        <item x="54"/>
        <item x="114"/>
        <item x="56"/>
        <item x="44"/>
        <item x="2"/>
        <item x="23"/>
        <item x="110"/>
        <item x="116"/>
        <item x="52"/>
        <item x="103"/>
        <item x="63"/>
        <item x="106"/>
        <item x="98"/>
        <item x="18"/>
        <item x="55"/>
        <item x="62"/>
        <item x="15"/>
        <item x="4"/>
        <item x="49"/>
        <item x="81"/>
        <item x="95"/>
        <item x="17"/>
        <item x="67"/>
        <item x="111"/>
        <item x="117"/>
        <item x="31"/>
        <item x="1"/>
        <item x="60"/>
        <item x="22"/>
        <item x="79"/>
        <item x="82"/>
        <item x="87"/>
        <item x="50"/>
        <item x="99"/>
        <item x="19"/>
        <item x="59"/>
        <item x="14"/>
        <item x="66"/>
        <item x="85"/>
        <item x="97"/>
        <item x="6"/>
        <item x="102"/>
        <item x="89"/>
        <item x="88"/>
        <item x="86"/>
        <item x="24"/>
        <item x="13"/>
        <item x="30"/>
        <item x="42"/>
        <item x="37"/>
        <item x="16"/>
        <item x="69"/>
        <item x="73"/>
        <item x="3"/>
        <item x="75"/>
        <item x="84"/>
        <item x="5"/>
        <item x="43"/>
        <item x="36"/>
        <item x="38"/>
        <item x="40"/>
        <item x="65"/>
        <item x="12"/>
        <item x="64"/>
        <item x="11"/>
        <item x="80"/>
        <item x="90"/>
        <item x="0"/>
        <item x="109"/>
        <item x="8"/>
        <item x="108"/>
        <item x="28"/>
        <item x="71"/>
        <item x="94"/>
        <item x="32"/>
        <item x="77"/>
        <item x="7"/>
        <item x="104"/>
        <item x="72"/>
        <item x="10"/>
        <item x="20"/>
        <item x="47"/>
        <item x="9"/>
        <item x="78"/>
        <item x="26"/>
        <item x="53"/>
        <item x="51"/>
        <item x="70"/>
        <item x="68"/>
        <item x="83"/>
        <item x="58"/>
        <item x="92"/>
        <item x="113"/>
        <item x="33"/>
        <item x="112"/>
        <item x="39"/>
        <item x="74"/>
        <item x="105"/>
        <item x="91"/>
        <item x="48"/>
        <item x="21"/>
        <item x="29"/>
        <item x="45"/>
        <item x="96"/>
        <item x="93"/>
        <item x="118"/>
        <item x="34"/>
        <item x="35"/>
        <item x="57"/>
        <item x="100"/>
        <item x="107"/>
        <item t="default"/>
      </items>
    </pivotField>
    <pivotField axis="axisRow" showAll="0">
      <items count="9">
        <item x="0"/>
        <item x="3"/>
        <item x="2"/>
        <item x="5"/>
        <item x="1"/>
        <item x="4"/>
        <item x="6"/>
        <item x="7"/>
        <item t="default"/>
      </items>
    </pivotField>
    <pivotField showAll="0">
      <items count="3">
        <item x="1"/>
        <item x="0"/>
        <item t="default"/>
      </items>
    </pivotField>
    <pivotField showAll="0">
      <items count="5">
        <item x="3"/>
        <item x="0"/>
        <item x="2"/>
        <item x="1"/>
        <item t="default"/>
      </items>
    </pivotField>
    <pivotField showAll="0"/>
    <pivotField showAll="0"/>
    <pivotField showAll="0"/>
    <pivotField showAll="0"/>
    <pivotField showAll="0"/>
    <pivotField showAll="0"/>
    <pivotField dataField="1" showAll="0"/>
    <pivotField showAll="0">
      <items count="4">
        <item x="1"/>
        <item x="2"/>
        <item x="0"/>
        <item t="default"/>
      </items>
    </pivotField>
    <pivotField dataField="1" dragToRow="0" dragToCol="0" dragToPage="0" showAll="0" defaultSubtotal="0"/>
    <pivotField dataField="1"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9">
    <i>
      <x/>
    </i>
    <i>
      <x v="1"/>
    </i>
    <i>
      <x v="2"/>
    </i>
    <i>
      <x v="3"/>
    </i>
    <i>
      <x v="4"/>
    </i>
    <i>
      <x v="5"/>
    </i>
    <i>
      <x v="6"/>
    </i>
    <i>
      <x v="7"/>
    </i>
    <i t="grand">
      <x/>
    </i>
  </rowItems>
  <colFields count="1">
    <field x="-2"/>
  </colFields>
  <colItems count="3">
    <i>
      <x/>
    </i>
    <i i="1">
      <x v="1"/>
    </i>
    <i i="2">
      <x v="2"/>
    </i>
  </colItems>
  <dataFields count="3">
    <dataField name="Sum of Total Revenue" fld="10" baseField="0" baseItem="0"/>
    <dataField name="Sum of profit" fld="12" baseField="0" baseItem="0"/>
    <dataField name="Sum of profit%" fld="13" baseField="0" baseItem="0" numFmtId="165"/>
  </dataFields>
  <formats count="2">
    <format dxfId="860">
      <pivotArea outline="0" collapsedLevelsAreSubtotals="1" fieldPosition="0">
        <references count="1">
          <reference field="4294967294" count="1" selected="0">
            <x v="2"/>
          </reference>
        </references>
      </pivotArea>
    </format>
    <format dxfId="859">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CCFACDA-8228-4B95-AA9F-2E2AA47EB5E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1:J8" firstHeaderRow="1" firstDataRow="1" firstDataCol="1"/>
  <pivotFields count="16">
    <pivotField axis="axisRow" numFmtId="14" showAll="0">
      <items count="120">
        <item x="46"/>
        <item x="115"/>
        <item x="41"/>
        <item x="27"/>
        <item x="76"/>
        <item x="61"/>
        <item x="101"/>
        <item x="25"/>
        <item x="54"/>
        <item x="114"/>
        <item x="56"/>
        <item x="44"/>
        <item x="2"/>
        <item x="23"/>
        <item x="110"/>
        <item x="116"/>
        <item x="52"/>
        <item x="103"/>
        <item x="63"/>
        <item x="106"/>
        <item x="98"/>
        <item x="18"/>
        <item x="55"/>
        <item x="62"/>
        <item x="15"/>
        <item x="4"/>
        <item x="49"/>
        <item x="81"/>
        <item x="95"/>
        <item x="17"/>
        <item x="67"/>
        <item x="111"/>
        <item x="117"/>
        <item x="31"/>
        <item x="1"/>
        <item x="60"/>
        <item x="22"/>
        <item x="79"/>
        <item x="82"/>
        <item x="87"/>
        <item x="50"/>
        <item x="99"/>
        <item x="19"/>
        <item x="59"/>
        <item x="14"/>
        <item x="66"/>
        <item x="85"/>
        <item x="97"/>
        <item x="6"/>
        <item x="102"/>
        <item x="89"/>
        <item x="88"/>
        <item x="86"/>
        <item x="24"/>
        <item x="13"/>
        <item x="30"/>
        <item x="42"/>
        <item x="37"/>
        <item x="16"/>
        <item x="69"/>
        <item x="73"/>
        <item x="3"/>
        <item x="75"/>
        <item x="84"/>
        <item x="5"/>
        <item x="43"/>
        <item x="36"/>
        <item x="38"/>
        <item x="40"/>
        <item x="65"/>
        <item x="12"/>
        <item x="64"/>
        <item x="11"/>
        <item x="80"/>
        <item x="90"/>
        <item x="0"/>
        <item x="109"/>
        <item x="8"/>
        <item x="108"/>
        <item x="28"/>
        <item x="71"/>
        <item x="94"/>
        <item x="32"/>
        <item x="77"/>
        <item x="7"/>
        <item x="104"/>
        <item x="72"/>
        <item x="10"/>
        <item x="20"/>
        <item x="47"/>
        <item x="9"/>
        <item x="78"/>
        <item x="26"/>
        <item x="53"/>
        <item x="51"/>
        <item x="70"/>
        <item x="68"/>
        <item x="83"/>
        <item x="58"/>
        <item x="92"/>
        <item x="113"/>
        <item x="33"/>
        <item x="112"/>
        <item x="39"/>
        <item x="74"/>
        <item x="105"/>
        <item x="91"/>
        <item x="48"/>
        <item x="21"/>
        <item x="29"/>
        <item x="45"/>
        <item x="96"/>
        <item x="93"/>
        <item x="118"/>
        <item x="34"/>
        <item x="35"/>
        <item x="57"/>
        <item x="100"/>
        <item x="107"/>
        <item t="default"/>
      </items>
    </pivotField>
    <pivotField showAll="0">
      <items count="9">
        <item x="0"/>
        <item x="3"/>
        <item x="2"/>
        <item x="5"/>
        <item x="1"/>
        <item x="4"/>
        <item x="6"/>
        <item x="7"/>
        <item t="default"/>
      </items>
    </pivotField>
    <pivotField showAll="0">
      <items count="3">
        <item x="1"/>
        <item x="0"/>
        <item t="default"/>
      </items>
    </pivotField>
    <pivotField showAll="0">
      <items count="5">
        <item x="3"/>
        <item x="0"/>
        <item x="2"/>
        <item x="1"/>
        <item t="default"/>
      </items>
    </pivotField>
    <pivotField showAll="0">
      <items count="5">
        <item x="1"/>
        <item x="2"/>
        <item x="3"/>
        <item x="0"/>
        <item t="default"/>
      </items>
    </pivotField>
    <pivotField showAll="0"/>
    <pivotField showAll="0"/>
    <pivotField showAll="0"/>
    <pivotField showAll="0"/>
    <pivotField showAll="0"/>
    <pivotField showAll="0"/>
    <pivotField showAll="0">
      <items count="4">
        <item x="1"/>
        <item x="2"/>
        <item x="0"/>
        <item t="default"/>
      </items>
    </pivotField>
    <pivotField dragToRow="0" dragToCol="0" dragToPage="0" showAll="0" defaultSubtotal="0"/>
    <pivotField dataField="1" dragToRow="0" dragToCol="0" dragToPage="0" showAll="0" defaultSubtota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5"/>
    <field x="0"/>
  </rowFields>
  <rowItems count="7">
    <i>
      <x v="1"/>
    </i>
    <i>
      <x v="2"/>
    </i>
    <i>
      <x v="3"/>
    </i>
    <i>
      <x v="4"/>
    </i>
    <i>
      <x v="5"/>
    </i>
    <i>
      <x v="6"/>
    </i>
    <i t="grand">
      <x/>
    </i>
  </rowItems>
  <colItems count="1">
    <i/>
  </colItems>
  <dataFields count="1">
    <dataField name="Sum of profit%" fld="13" baseField="0" baseItem="0" numFmtId="165"/>
  </dataFields>
  <formats count="2">
    <format dxfId="862">
      <pivotArea outline="0" collapsedLevelsAreSubtotals="1" fieldPosition="0">
        <references count="1">
          <reference field="4294967294" count="1" selected="0">
            <x v="0"/>
          </reference>
        </references>
      </pivotArea>
    </format>
    <format dxfId="861">
      <pivotArea dataOnly="0" labelOnly="1" outline="0" fieldPosition="0">
        <references count="1">
          <reference field="4294967294" count="1">
            <x v="0"/>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C32E382-6714-44A7-B738-2AC914B8C327}"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1:H11" firstHeaderRow="1" firstDataRow="2" firstDataCol="1"/>
  <pivotFields count="16">
    <pivotField numFmtId="14" showAll="0">
      <items count="120">
        <item x="46"/>
        <item x="115"/>
        <item x="41"/>
        <item x="27"/>
        <item x="76"/>
        <item x="61"/>
        <item x="101"/>
        <item x="25"/>
        <item x="54"/>
        <item x="114"/>
        <item x="56"/>
        <item x="44"/>
        <item x="2"/>
        <item x="23"/>
        <item x="110"/>
        <item x="116"/>
        <item x="52"/>
        <item x="103"/>
        <item x="63"/>
        <item x="106"/>
        <item x="98"/>
        <item x="18"/>
        <item x="55"/>
        <item x="62"/>
        <item x="15"/>
        <item x="4"/>
        <item x="49"/>
        <item x="81"/>
        <item x="95"/>
        <item x="17"/>
        <item x="67"/>
        <item x="111"/>
        <item x="117"/>
        <item x="31"/>
        <item x="1"/>
        <item x="60"/>
        <item x="22"/>
        <item x="79"/>
        <item x="82"/>
        <item x="87"/>
        <item x="50"/>
        <item x="99"/>
        <item x="19"/>
        <item x="59"/>
        <item x="14"/>
        <item x="66"/>
        <item x="85"/>
        <item x="97"/>
        <item x="6"/>
        <item x="102"/>
        <item x="89"/>
        <item x="88"/>
        <item x="86"/>
        <item x="24"/>
        <item x="13"/>
        <item x="30"/>
        <item x="42"/>
        <item x="37"/>
        <item x="16"/>
        <item x="69"/>
        <item x="73"/>
        <item x="3"/>
        <item x="75"/>
        <item x="84"/>
        <item x="5"/>
        <item x="43"/>
        <item x="36"/>
        <item x="38"/>
        <item x="40"/>
        <item x="65"/>
        <item x="12"/>
        <item x="64"/>
        <item x="11"/>
        <item x="80"/>
        <item x="90"/>
        <item x="0"/>
        <item x="109"/>
        <item x="8"/>
        <item x="108"/>
        <item x="28"/>
        <item x="71"/>
        <item x="94"/>
        <item x="32"/>
        <item x="77"/>
        <item x="7"/>
        <item x="104"/>
        <item x="72"/>
        <item x="10"/>
        <item x="20"/>
        <item x="47"/>
        <item x="9"/>
        <item x="78"/>
        <item x="26"/>
        <item x="53"/>
        <item x="51"/>
        <item x="70"/>
        <item x="68"/>
        <item x="83"/>
        <item x="58"/>
        <item x="92"/>
        <item x="113"/>
        <item x="33"/>
        <item x="112"/>
        <item x="39"/>
        <item x="74"/>
        <item x="105"/>
        <item x="91"/>
        <item x="48"/>
        <item x="21"/>
        <item x="29"/>
        <item x="45"/>
        <item x="96"/>
        <item x="93"/>
        <item x="118"/>
        <item x="34"/>
        <item x="35"/>
        <item x="57"/>
        <item x="100"/>
        <item x="107"/>
        <item t="default"/>
      </items>
    </pivotField>
    <pivotField axis="axisRow" showAll="0">
      <items count="9">
        <item x="0"/>
        <item x="3"/>
        <item x="2"/>
        <item x="5"/>
        <item x="1"/>
        <item x="4"/>
        <item x="6"/>
        <item x="7"/>
        <item t="default"/>
      </items>
    </pivotField>
    <pivotField showAll="0">
      <items count="3">
        <item x="1"/>
        <item x="0"/>
        <item t="default"/>
      </items>
    </pivotField>
    <pivotField showAll="0">
      <items count="5">
        <item x="3"/>
        <item x="0"/>
        <item x="2"/>
        <item x="1"/>
        <item t="default"/>
      </items>
    </pivotField>
    <pivotField showAll="0"/>
    <pivotField dataField="1" showAll="0"/>
    <pivotField showAll="0"/>
    <pivotField showAll="0"/>
    <pivotField showAll="0"/>
    <pivotField showAll="0"/>
    <pivotField showAll="0"/>
    <pivotField axis="axisCol" showAll="0">
      <items count="4">
        <item x="1"/>
        <item x="2"/>
        <item x="0"/>
        <item t="default"/>
      </items>
    </pivotField>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9">
    <i>
      <x/>
    </i>
    <i>
      <x v="1"/>
    </i>
    <i>
      <x v="2"/>
    </i>
    <i>
      <x v="3"/>
    </i>
    <i>
      <x v="4"/>
    </i>
    <i>
      <x v="5"/>
    </i>
    <i>
      <x v="6"/>
    </i>
    <i>
      <x v="7"/>
    </i>
    <i t="grand">
      <x/>
    </i>
  </rowItems>
  <colFields count="1">
    <field x="11"/>
  </colFields>
  <colItems count="4">
    <i>
      <x/>
    </i>
    <i>
      <x v="1"/>
    </i>
    <i>
      <x v="2"/>
    </i>
    <i t="grand">
      <x/>
    </i>
  </colItems>
  <dataFields count="1">
    <dataField name="Sum of Units_Sold" fld="5" baseField="0" baseItem="0"/>
  </dataFields>
  <chartFormats count="11">
    <chartFormat chart="5" format="6" series="1">
      <pivotArea type="data" outline="0" fieldPosition="0">
        <references count="2">
          <reference field="4294967294" count="1" selected="0">
            <x v="0"/>
          </reference>
          <reference field="11" count="1" selected="0">
            <x v="0"/>
          </reference>
        </references>
      </pivotArea>
    </chartFormat>
    <chartFormat chart="5" format="7" series="1">
      <pivotArea type="data" outline="0" fieldPosition="0">
        <references count="2">
          <reference field="4294967294" count="1" selected="0">
            <x v="0"/>
          </reference>
          <reference field="11" count="1" selected="0">
            <x v="1"/>
          </reference>
        </references>
      </pivotArea>
    </chartFormat>
    <chartFormat chart="5" format="8" series="1">
      <pivotArea type="data" outline="0" fieldPosition="0">
        <references count="2">
          <reference field="4294967294" count="1" selected="0">
            <x v="0"/>
          </reference>
          <reference field="11" count="1" selected="0">
            <x v="2"/>
          </reference>
        </references>
      </pivotArea>
    </chartFormat>
    <chartFormat chart="5" format="9">
      <pivotArea type="data" outline="0" fieldPosition="0">
        <references count="3">
          <reference field="4294967294" count="1" selected="0">
            <x v="0"/>
          </reference>
          <reference field="1" count="1" selected="0">
            <x v="2"/>
          </reference>
          <reference field="11" count="1" selected="0">
            <x v="1"/>
          </reference>
        </references>
      </pivotArea>
    </chartFormat>
    <chartFormat chart="5" format="10">
      <pivotArea type="data" outline="0" fieldPosition="0">
        <references count="3">
          <reference field="4294967294" count="1" selected="0">
            <x v="0"/>
          </reference>
          <reference field="1" count="1" selected="0">
            <x v="0"/>
          </reference>
          <reference field="11" count="1" selected="0">
            <x v="1"/>
          </reference>
        </references>
      </pivotArea>
    </chartFormat>
    <chartFormat chart="5" format="11">
      <pivotArea type="data" outline="0" fieldPosition="0">
        <references count="3">
          <reference field="4294967294" count="1" selected="0">
            <x v="0"/>
          </reference>
          <reference field="1" count="1" selected="0">
            <x v="1"/>
          </reference>
          <reference field="11" count="1" selected="0">
            <x v="1"/>
          </reference>
        </references>
      </pivotArea>
    </chartFormat>
    <chartFormat chart="5" format="12">
      <pivotArea type="data" outline="0" fieldPosition="0">
        <references count="3">
          <reference field="4294967294" count="1" selected="0">
            <x v="0"/>
          </reference>
          <reference field="1" count="1" selected="0">
            <x v="3"/>
          </reference>
          <reference field="11" count="1" selected="0">
            <x v="1"/>
          </reference>
        </references>
      </pivotArea>
    </chartFormat>
    <chartFormat chart="5" format="13">
      <pivotArea type="data" outline="0" fieldPosition="0">
        <references count="3">
          <reference field="4294967294" count="1" selected="0">
            <x v="0"/>
          </reference>
          <reference field="1" count="1" selected="0">
            <x v="4"/>
          </reference>
          <reference field="11" count="1" selected="0">
            <x v="1"/>
          </reference>
        </references>
      </pivotArea>
    </chartFormat>
    <chartFormat chart="5" format="14">
      <pivotArea type="data" outline="0" fieldPosition="0">
        <references count="3">
          <reference field="4294967294" count="1" selected="0">
            <x v="0"/>
          </reference>
          <reference field="1" count="1" selected="0">
            <x v="6"/>
          </reference>
          <reference field="11" count="1" selected="0">
            <x v="1"/>
          </reference>
        </references>
      </pivotArea>
    </chartFormat>
    <chartFormat chart="5" format="15">
      <pivotArea type="data" outline="0" fieldPosition="0">
        <references count="3">
          <reference field="4294967294" count="1" selected="0">
            <x v="0"/>
          </reference>
          <reference field="1" count="1" selected="0">
            <x v="7"/>
          </reference>
          <reference field="11" count="1" selected="0">
            <x v="1"/>
          </reference>
        </references>
      </pivotArea>
    </chartFormat>
    <chartFormat chart="5" format="16">
      <pivotArea type="data" outline="0" fieldPosition="0">
        <references count="3">
          <reference field="4294967294" count="1" selected="0">
            <x v="0"/>
          </reference>
          <reference field="1" count="1" selected="0">
            <x v="5"/>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CEE68ED-ECD3-4AA2-A2F1-7AE7D91AC41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5" firstHeaderRow="1" firstDataRow="1" firstDataCol="1"/>
  <pivotFields count="16">
    <pivotField numFmtId="14" showAll="0">
      <items count="120">
        <item x="46"/>
        <item x="115"/>
        <item x="41"/>
        <item x="27"/>
        <item x="76"/>
        <item x="61"/>
        <item x="101"/>
        <item x="25"/>
        <item x="54"/>
        <item x="114"/>
        <item x="56"/>
        <item x="44"/>
        <item x="2"/>
        <item x="23"/>
        <item x="110"/>
        <item x="116"/>
        <item x="52"/>
        <item x="103"/>
        <item x="63"/>
        <item x="106"/>
        <item x="98"/>
        <item x="18"/>
        <item x="55"/>
        <item x="62"/>
        <item x="15"/>
        <item x="4"/>
        <item x="49"/>
        <item x="81"/>
        <item x="95"/>
        <item x="17"/>
        <item x="67"/>
        <item x="111"/>
        <item x="117"/>
        <item x="31"/>
        <item x="1"/>
        <item x="60"/>
        <item x="22"/>
        <item x="79"/>
        <item x="82"/>
        <item x="87"/>
        <item x="50"/>
        <item x="99"/>
        <item x="19"/>
        <item x="59"/>
        <item x="14"/>
        <item x="66"/>
        <item x="85"/>
        <item x="97"/>
        <item x="6"/>
        <item x="102"/>
        <item x="89"/>
        <item x="88"/>
        <item x="86"/>
        <item x="24"/>
        <item x="13"/>
        <item x="30"/>
        <item x="42"/>
        <item x="37"/>
        <item x="16"/>
        <item x="69"/>
        <item x="73"/>
        <item x="3"/>
        <item x="75"/>
        <item x="84"/>
        <item x="5"/>
        <item x="43"/>
        <item x="36"/>
        <item x="38"/>
        <item x="40"/>
        <item x="65"/>
        <item x="12"/>
        <item x="64"/>
        <item x="11"/>
        <item x="80"/>
        <item x="90"/>
        <item x="0"/>
        <item x="109"/>
        <item x="8"/>
        <item x="108"/>
        <item x="28"/>
        <item x="71"/>
        <item x="94"/>
        <item x="32"/>
        <item x="77"/>
        <item x="7"/>
        <item x="104"/>
        <item x="72"/>
        <item x="10"/>
        <item x="20"/>
        <item x="47"/>
        <item x="9"/>
        <item x="78"/>
        <item x="26"/>
        <item x="53"/>
        <item x="51"/>
        <item x="70"/>
        <item x="68"/>
        <item x="83"/>
        <item x="58"/>
        <item x="92"/>
        <item x="113"/>
        <item x="33"/>
        <item x="112"/>
        <item x="39"/>
        <item x="74"/>
        <item x="105"/>
        <item x="91"/>
        <item x="48"/>
        <item x="21"/>
        <item x="29"/>
        <item x="45"/>
        <item x="96"/>
        <item x="93"/>
        <item x="118"/>
        <item x="34"/>
        <item x="35"/>
        <item x="57"/>
        <item x="100"/>
        <item x="107"/>
        <item t="default"/>
      </items>
    </pivotField>
    <pivotField dataField="1" showAll="0">
      <items count="9">
        <item x="0"/>
        <item x="3"/>
        <item x="2"/>
        <item x="5"/>
        <item x="1"/>
        <item x="4"/>
        <item x="6"/>
        <item x="7"/>
        <item t="default"/>
      </items>
    </pivotField>
    <pivotField showAll="0">
      <items count="3">
        <item x="1"/>
        <item x="0"/>
        <item t="default"/>
      </items>
    </pivotField>
    <pivotField showAll="0">
      <items count="5">
        <item x="3"/>
        <item x="0"/>
        <item x="2"/>
        <item x="1"/>
        <item t="default"/>
      </items>
    </pivotField>
    <pivotField showAll="0"/>
    <pivotField showAll="0"/>
    <pivotField showAll="0"/>
    <pivotField showAll="0"/>
    <pivotField showAll="0"/>
    <pivotField showAll="0"/>
    <pivotField showAll="0"/>
    <pivotField axis="axisRow" showAll="0">
      <items count="4">
        <item x="1"/>
        <item x="2"/>
        <item x="0"/>
        <item t="default"/>
      </items>
    </pivotField>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4">
    <i>
      <x/>
    </i>
    <i>
      <x v="1"/>
    </i>
    <i>
      <x v="2"/>
    </i>
    <i t="grand">
      <x/>
    </i>
  </rowItems>
  <colItems count="1">
    <i/>
  </colItems>
  <dataFields count="1">
    <dataField name="Count of Product" fld="1" subtotal="count"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1" count="1" selected="0">
            <x v="0"/>
          </reference>
        </references>
      </pivotArea>
    </chartFormat>
    <chartFormat chart="2" format="7">
      <pivotArea type="data" outline="0" fieldPosition="0">
        <references count="2">
          <reference field="4294967294" count="1" selected="0">
            <x v="0"/>
          </reference>
          <reference field="11" count="1" selected="0">
            <x v="1"/>
          </reference>
        </references>
      </pivotArea>
    </chartFormat>
    <chartFormat chart="2"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4F7E25E-CA74-4443-8A85-834C5A2BF1E3}" autoFormatId="16" applyNumberFormats="0" applyBorderFormats="0" applyFontFormats="0" applyPatternFormats="0" applyAlignmentFormats="0" applyWidthHeightFormats="0">
  <queryTableRefresh nextId="13">
    <queryTableFields count="12">
      <queryTableField id="1" name="Date" tableColumnId="1"/>
      <queryTableField id="2" name="Product" tableColumnId="2"/>
      <queryTableField id="3" name="Category" tableColumnId="3"/>
      <queryTableField id="4" name="Supplier" tableColumnId="4"/>
      <queryTableField id="5" name="Region" tableColumnId="5"/>
      <queryTableField id="6" name="Units_Sold" tableColumnId="6"/>
      <queryTableField id="7" name="Stock_In" tableColumnId="7"/>
      <queryTableField id="8" name="Current_Stock" tableColumnId="8"/>
      <queryTableField id="9" name="Cost_Price" tableColumnId="9"/>
      <queryTableField id="10" name="Selling_Price" tableColumnId="10"/>
      <queryTableField id="11" name="Total Revenue" tableColumnId="11"/>
      <queryTableField id="12" name="Column1"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A97F4F0F-AC45-48D1-A9ED-2BCC195F1A31}" sourceName="Supplier">
  <pivotTables>
    <pivotTable tabId="18" name="PivotTable10"/>
    <pivotTable tabId="18" name="PivotTable11"/>
    <pivotTable tabId="18" name="PivotTable8"/>
    <pivotTable tabId="18" name="PivotTable9"/>
    <pivotTable tabId="17" name="PivotTable1"/>
    <pivotTable tabId="17" name="PivotTable2"/>
    <pivotTable tabId="17" name="PivotTable3"/>
    <pivotTable tabId="17" name="PivotTable4"/>
    <pivotTable tabId="17" name="PivotTable7"/>
    <pivotTable tabId="19" name="PivotTable12"/>
    <pivotTable tabId="19" name="PivotTable13"/>
    <pivotTable tabId="17" name="PivotTable5"/>
  </pivotTables>
  <data>
    <tabular pivotCacheId="1141954203">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 xr10:uid="{D7B92FF4-D176-4339-B43B-8A3E08411A2A}" sourceName="Column1">
  <pivotTables>
    <pivotTable tabId="17" name="PivotTable1"/>
    <pivotTable tabId="18" name="PivotTable10"/>
    <pivotTable tabId="18" name="PivotTable11"/>
    <pivotTable tabId="18" name="PivotTable8"/>
    <pivotTable tabId="18" name="PivotTable9"/>
    <pivotTable tabId="17" name="PivotTable2"/>
    <pivotTable tabId="17" name="PivotTable3"/>
    <pivotTable tabId="17" name="PivotTable4"/>
    <pivotTable tabId="17" name="PivotTable7"/>
    <pivotTable tabId="19" name="PivotTable12"/>
    <pivotTable tabId="19" name="PivotTable13"/>
    <pivotTable tabId="17" name="PivotTable5"/>
  </pivotTables>
  <data>
    <tabular pivotCacheId="1141954203">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BF33CE9-F38C-4759-A984-C65BA1F397D0}" sourceName="Category">
  <pivotTables>
    <pivotTable tabId="17" name="PivotTable1"/>
    <pivotTable tabId="18" name="PivotTable10"/>
    <pivotTable tabId="18" name="PivotTable11"/>
    <pivotTable tabId="18" name="PivotTable8"/>
    <pivotTable tabId="18" name="PivotTable9"/>
    <pivotTable tabId="17" name="PivotTable2"/>
    <pivotTable tabId="17" name="PivotTable3"/>
    <pivotTable tabId="17" name="PivotTable4"/>
    <pivotTable tabId="17" name="PivotTable7"/>
    <pivotTable tabId="19" name="PivotTable12"/>
    <pivotTable tabId="19" name="PivotTable13"/>
    <pivotTable tabId="17" name="PivotTable5"/>
  </pivotTables>
  <data>
    <tabular pivotCacheId="114195420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 xr10:uid="{A681DDEE-A2B8-4AB4-964A-BD2F82D403AD}" cache="Slicer_Supplier" caption="Supplier" style="my slicer" rowHeight="241300"/>
  <slicer name="Column1" xr10:uid="{1EF88A25-E059-4B7F-B269-939609288E73}" cache="Slicer_Column1" caption="Column1" style="my slicer" rowHeight="241300"/>
  <slicer name="Category" xr10:uid="{4A49CEB0-4C63-4105-B0A5-3F996ED3A908}" cache="Slicer_Category" caption="Category" style="my slice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2B69582-F604-4E3A-8438-9F77363C9FA6}" name="Table_2" displayName="Table_2" ref="A1:L201" tableType="queryTable" totalsRowShown="0">
  <autoFilter ref="A1:L201" xr:uid="{12B69582-F604-4E3A-8438-9F77363C9FA6}"/>
  <tableColumns count="12">
    <tableColumn id="1" xr3:uid="{0A75C2E1-0E1C-47DA-95AC-01B08633645A}" uniqueName="1" name="Date" queryTableFieldId="1" dataDxfId="869"/>
    <tableColumn id="2" xr3:uid="{3FF186B8-1479-4A1A-A6CC-9E3C99B0F4A5}" uniqueName="2" name="Product" queryTableFieldId="2" dataDxfId="868"/>
    <tableColumn id="3" xr3:uid="{6E37243B-1611-45F7-92EC-57FD8EE39C11}" uniqueName="3" name="Category" queryTableFieldId="3" dataDxfId="867"/>
    <tableColumn id="4" xr3:uid="{01352E40-F361-450B-BF9A-98350A8BDC1D}" uniqueName="4" name="Supplier" queryTableFieldId="4" dataDxfId="866"/>
    <tableColumn id="5" xr3:uid="{6096E666-FB2A-46E7-9CA4-3EFE0D74DF87}" uniqueName="5" name="Region" queryTableFieldId="5" dataDxfId="865"/>
    <tableColumn id="6" xr3:uid="{AF845DA4-5957-4ACF-B1DA-692ED84E824F}" uniqueName="6" name="Units_Sold" queryTableFieldId="6"/>
    <tableColumn id="7" xr3:uid="{3F068ED6-4BD9-419F-8361-CC5C8229BA8F}" uniqueName="7" name="Stock_In" queryTableFieldId="7"/>
    <tableColumn id="8" xr3:uid="{BAD1A0EC-D2F8-40BA-A089-80A4916B0356}" uniqueName="8" name="Current_Stock" queryTableFieldId="8"/>
    <tableColumn id="9" xr3:uid="{9FE6C931-0BEF-45D1-B013-7A49DBE5C4D9}" uniqueName="9" name="Cost_Price" queryTableFieldId="9"/>
    <tableColumn id="10" xr3:uid="{AA9FFB57-3028-43BF-A8AE-AD395C6100D6}" uniqueName="10" name="Selling_Price" queryTableFieldId="10"/>
    <tableColumn id="11" xr3:uid="{92FF826E-7C5C-4E02-BE93-E937C90E60F4}" uniqueName="11" name="Total Revenue" queryTableFieldId="11"/>
    <tableColumn id="12" xr3:uid="{0F1AD0D0-1D96-4A39-A122-41C429A6D62C}" uniqueName="12" name="Column1" queryTableFieldId="12" dataDxfId="86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5874C-9D9F-47EC-B9A9-D81D1EBC8D3A}">
  <dimension ref="A1:L201"/>
  <sheetViews>
    <sheetView topLeftCell="D186" workbookViewId="0">
      <selection sqref="A1:L201"/>
    </sheetView>
  </sheetViews>
  <sheetFormatPr defaultRowHeight="14.5" x14ac:dyDescent="0.35"/>
  <cols>
    <col min="1" max="1" width="10.08984375" bestFit="1" customWidth="1"/>
    <col min="2" max="2" width="11.36328125" bestFit="1" customWidth="1"/>
    <col min="3" max="3" width="10.54296875" bestFit="1" customWidth="1"/>
    <col min="4" max="4" width="16" bestFit="1" customWidth="1"/>
    <col min="6" max="6" width="12" bestFit="1" customWidth="1"/>
    <col min="7" max="7" width="10.26953125" bestFit="1" customWidth="1"/>
    <col min="8" max="8" width="15.1796875" bestFit="1" customWidth="1"/>
    <col min="9" max="9" width="11.90625" bestFit="1" customWidth="1"/>
    <col min="10" max="10" width="13.453125" bestFit="1" customWidth="1"/>
    <col min="11" max="11" width="15" bestFit="1" customWidth="1"/>
    <col min="12" max="12" width="11.36328125" bestFit="1" customWidth="1"/>
  </cols>
  <sheetData>
    <row r="1" spans="1:12" x14ac:dyDescent="0.35">
      <c r="A1" t="s">
        <v>0</v>
      </c>
      <c r="B1" t="s">
        <v>1</v>
      </c>
      <c r="C1" t="s">
        <v>2</v>
      </c>
      <c r="D1" t="s">
        <v>3</v>
      </c>
      <c r="E1" t="s">
        <v>4</v>
      </c>
      <c r="F1" t="s">
        <v>5</v>
      </c>
      <c r="G1" t="s">
        <v>6</v>
      </c>
      <c r="H1" t="s">
        <v>7</v>
      </c>
      <c r="I1" t="s">
        <v>8</v>
      </c>
      <c r="J1" t="s">
        <v>9</v>
      </c>
      <c r="K1" t="s">
        <v>28</v>
      </c>
      <c r="L1" t="s">
        <v>36</v>
      </c>
    </row>
    <row r="2" spans="1:12" x14ac:dyDescent="0.35">
      <c r="A2" s="4">
        <v>45767</v>
      </c>
      <c r="B2" t="s">
        <v>10</v>
      </c>
      <c r="C2" t="s">
        <v>11</v>
      </c>
      <c r="D2" t="s">
        <v>12</v>
      </c>
      <c r="E2" t="s">
        <v>13</v>
      </c>
      <c r="F2">
        <v>86</v>
      </c>
      <c r="G2">
        <v>23</v>
      </c>
      <c r="H2">
        <v>108</v>
      </c>
      <c r="I2">
        <v>21359</v>
      </c>
      <c r="J2">
        <v>25380</v>
      </c>
      <c r="K2">
        <v>2182680</v>
      </c>
      <c r="L2" t="s">
        <v>39</v>
      </c>
    </row>
    <row r="3" spans="1:12" x14ac:dyDescent="0.35">
      <c r="A3" s="4">
        <v>45704</v>
      </c>
      <c r="B3" t="s">
        <v>14</v>
      </c>
      <c r="C3" t="s">
        <v>15</v>
      </c>
      <c r="D3" t="s">
        <v>16</v>
      </c>
      <c r="E3" t="s">
        <v>17</v>
      </c>
      <c r="F3">
        <v>99</v>
      </c>
      <c r="G3">
        <v>62</v>
      </c>
      <c r="H3">
        <v>110</v>
      </c>
      <c r="I3">
        <v>2233</v>
      </c>
      <c r="J3">
        <v>6078</v>
      </c>
      <c r="K3">
        <v>601722</v>
      </c>
      <c r="L3" t="s">
        <v>39</v>
      </c>
    </row>
    <row r="4" spans="1:12" x14ac:dyDescent="0.35">
      <c r="A4" s="4">
        <v>45674</v>
      </c>
      <c r="B4" t="s">
        <v>14</v>
      </c>
      <c r="C4" t="s">
        <v>15</v>
      </c>
      <c r="D4" t="s">
        <v>18</v>
      </c>
      <c r="E4" t="s">
        <v>13</v>
      </c>
      <c r="F4">
        <v>36</v>
      </c>
      <c r="G4">
        <v>107</v>
      </c>
      <c r="H4">
        <v>99</v>
      </c>
      <c r="I4">
        <v>6245</v>
      </c>
      <c r="J4">
        <v>14127</v>
      </c>
      <c r="K4">
        <v>508572</v>
      </c>
      <c r="L4" t="s">
        <v>37</v>
      </c>
    </row>
    <row r="5" spans="1:12" x14ac:dyDescent="0.35">
      <c r="A5" s="4">
        <v>45747</v>
      </c>
      <c r="B5" t="s">
        <v>19</v>
      </c>
      <c r="C5" t="s">
        <v>15</v>
      </c>
      <c r="D5" t="s">
        <v>16</v>
      </c>
      <c r="E5" t="s">
        <v>20</v>
      </c>
      <c r="F5">
        <v>91</v>
      </c>
      <c r="G5">
        <v>138</v>
      </c>
      <c r="H5">
        <v>66</v>
      </c>
      <c r="I5">
        <v>44120</v>
      </c>
      <c r="J5">
        <v>50786</v>
      </c>
      <c r="K5">
        <v>4621526</v>
      </c>
      <c r="L5" t="s">
        <v>38</v>
      </c>
    </row>
    <row r="6" spans="1:12" x14ac:dyDescent="0.35">
      <c r="A6" s="4">
        <v>45690</v>
      </c>
      <c r="B6" t="s">
        <v>10</v>
      </c>
      <c r="C6" t="s">
        <v>11</v>
      </c>
      <c r="D6" t="s">
        <v>16</v>
      </c>
      <c r="E6" t="s">
        <v>13</v>
      </c>
      <c r="F6">
        <v>62</v>
      </c>
      <c r="G6">
        <v>98</v>
      </c>
      <c r="H6">
        <v>55</v>
      </c>
      <c r="I6">
        <v>43248</v>
      </c>
      <c r="J6">
        <v>45207</v>
      </c>
      <c r="K6">
        <v>2802834</v>
      </c>
      <c r="L6" t="s">
        <v>38</v>
      </c>
    </row>
    <row r="7" spans="1:12" x14ac:dyDescent="0.35">
      <c r="A7" s="4">
        <v>45752</v>
      </c>
      <c r="B7" t="s">
        <v>21</v>
      </c>
      <c r="C7" t="s">
        <v>15</v>
      </c>
      <c r="D7" t="s">
        <v>16</v>
      </c>
      <c r="E7" t="s">
        <v>20</v>
      </c>
      <c r="F7">
        <v>36</v>
      </c>
      <c r="G7">
        <v>104</v>
      </c>
      <c r="H7">
        <v>117</v>
      </c>
      <c r="I7">
        <v>11391</v>
      </c>
      <c r="J7">
        <v>11931</v>
      </c>
      <c r="K7">
        <v>429516</v>
      </c>
      <c r="L7" t="s">
        <v>37</v>
      </c>
    </row>
    <row r="8" spans="1:12" x14ac:dyDescent="0.35">
      <c r="A8" s="4">
        <v>45730</v>
      </c>
      <c r="B8" t="s">
        <v>14</v>
      </c>
      <c r="C8" t="s">
        <v>15</v>
      </c>
      <c r="D8" t="s">
        <v>18</v>
      </c>
      <c r="E8" t="s">
        <v>20</v>
      </c>
      <c r="F8">
        <v>75</v>
      </c>
      <c r="G8">
        <v>136</v>
      </c>
      <c r="H8">
        <v>2</v>
      </c>
      <c r="I8">
        <v>8422</v>
      </c>
      <c r="J8">
        <v>13381</v>
      </c>
      <c r="K8">
        <v>1003575</v>
      </c>
      <c r="L8" t="s">
        <v>38</v>
      </c>
    </row>
    <row r="9" spans="1:12" x14ac:dyDescent="0.35">
      <c r="A9" s="4">
        <v>45786</v>
      </c>
      <c r="B9" t="s">
        <v>22</v>
      </c>
      <c r="C9" t="s">
        <v>15</v>
      </c>
      <c r="D9" t="s">
        <v>16</v>
      </c>
      <c r="E9" t="s">
        <v>17</v>
      </c>
      <c r="F9">
        <v>29</v>
      </c>
      <c r="G9">
        <v>35</v>
      </c>
      <c r="H9">
        <v>51</v>
      </c>
      <c r="I9">
        <v>45845</v>
      </c>
      <c r="J9">
        <v>53851</v>
      </c>
      <c r="K9">
        <v>1561679</v>
      </c>
      <c r="L9" t="s">
        <v>39</v>
      </c>
    </row>
    <row r="10" spans="1:12" x14ac:dyDescent="0.35">
      <c r="A10" s="4">
        <v>45769</v>
      </c>
      <c r="B10" t="s">
        <v>23</v>
      </c>
      <c r="C10" t="s">
        <v>15</v>
      </c>
      <c r="D10" t="s">
        <v>18</v>
      </c>
      <c r="E10" t="s">
        <v>24</v>
      </c>
      <c r="F10">
        <v>7</v>
      </c>
      <c r="G10">
        <v>125</v>
      </c>
      <c r="H10">
        <v>65</v>
      </c>
      <c r="I10">
        <v>24534</v>
      </c>
      <c r="J10">
        <v>31533</v>
      </c>
      <c r="K10">
        <v>220731</v>
      </c>
      <c r="L10" t="s">
        <v>37</v>
      </c>
    </row>
    <row r="11" spans="1:12" x14ac:dyDescent="0.35">
      <c r="A11" s="4">
        <v>45792</v>
      </c>
      <c r="B11" t="s">
        <v>14</v>
      </c>
      <c r="C11" t="s">
        <v>15</v>
      </c>
      <c r="D11" t="s">
        <v>18</v>
      </c>
      <c r="E11" t="s">
        <v>13</v>
      </c>
      <c r="F11">
        <v>84</v>
      </c>
      <c r="G11">
        <v>82</v>
      </c>
      <c r="H11">
        <v>116</v>
      </c>
      <c r="I11">
        <v>36347</v>
      </c>
      <c r="J11">
        <v>43199</v>
      </c>
      <c r="K11">
        <v>3628716</v>
      </c>
      <c r="L11" t="s">
        <v>39</v>
      </c>
    </row>
    <row r="12" spans="1:12" x14ac:dyDescent="0.35">
      <c r="A12" s="4">
        <v>45789</v>
      </c>
      <c r="B12" t="s">
        <v>10</v>
      </c>
      <c r="C12" t="s">
        <v>11</v>
      </c>
      <c r="D12" t="s">
        <v>12</v>
      </c>
      <c r="E12" t="s">
        <v>17</v>
      </c>
      <c r="F12">
        <v>42</v>
      </c>
      <c r="G12">
        <v>58</v>
      </c>
      <c r="H12">
        <v>25</v>
      </c>
      <c r="I12">
        <v>3788</v>
      </c>
      <c r="J12">
        <v>11282</v>
      </c>
      <c r="K12">
        <v>473844</v>
      </c>
      <c r="L12" t="s">
        <v>38</v>
      </c>
    </row>
    <row r="13" spans="1:12" x14ac:dyDescent="0.35">
      <c r="A13" s="4">
        <v>45762</v>
      </c>
      <c r="B13" t="s">
        <v>14</v>
      </c>
      <c r="C13" t="s">
        <v>15</v>
      </c>
      <c r="D13" t="s">
        <v>16</v>
      </c>
      <c r="E13" t="s">
        <v>17</v>
      </c>
      <c r="F13">
        <v>18</v>
      </c>
      <c r="G13">
        <v>124</v>
      </c>
      <c r="H13">
        <v>67</v>
      </c>
      <c r="I13">
        <v>48684</v>
      </c>
      <c r="J13">
        <v>52556</v>
      </c>
      <c r="K13">
        <v>946008</v>
      </c>
      <c r="L13" t="s">
        <v>37</v>
      </c>
    </row>
    <row r="14" spans="1:12" x14ac:dyDescent="0.35">
      <c r="A14" s="4">
        <v>45760</v>
      </c>
      <c r="B14" t="s">
        <v>25</v>
      </c>
      <c r="C14" t="s">
        <v>15</v>
      </c>
      <c r="D14" t="s">
        <v>16</v>
      </c>
      <c r="E14" t="s">
        <v>13</v>
      </c>
      <c r="F14">
        <v>36</v>
      </c>
      <c r="G14">
        <v>36</v>
      </c>
      <c r="H14">
        <v>111</v>
      </c>
      <c r="I14">
        <v>21939</v>
      </c>
      <c r="J14">
        <v>25262</v>
      </c>
      <c r="K14">
        <v>909432</v>
      </c>
      <c r="L14" t="s">
        <v>37</v>
      </c>
    </row>
    <row r="15" spans="1:12" x14ac:dyDescent="0.35">
      <c r="A15" s="4">
        <v>45737</v>
      </c>
      <c r="B15" t="s">
        <v>14</v>
      </c>
      <c r="C15" t="s">
        <v>15</v>
      </c>
      <c r="D15" t="s">
        <v>16</v>
      </c>
      <c r="E15" t="s">
        <v>13</v>
      </c>
      <c r="F15">
        <v>77</v>
      </c>
      <c r="G15">
        <v>79</v>
      </c>
      <c r="H15">
        <v>107</v>
      </c>
      <c r="I15">
        <v>10587</v>
      </c>
      <c r="J15">
        <v>11673</v>
      </c>
      <c r="K15">
        <v>898821</v>
      </c>
      <c r="L15" t="s">
        <v>39</v>
      </c>
    </row>
    <row r="16" spans="1:12" x14ac:dyDescent="0.35">
      <c r="A16" s="4">
        <v>45722</v>
      </c>
      <c r="B16" t="s">
        <v>22</v>
      </c>
      <c r="C16" t="s">
        <v>15</v>
      </c>
      <c r="D16" t="s">
        <v>26</v>
      </c>
      <c r="E16" t="s">
        <v>20</v>
      </c>
      <c r="F16">
        <v>45</v>
      </c>
      <c r="G16">
        <v>134</v>
      </c>
      <c r="H16">
        <v>89</v>
      </c>
      <c r="I16">
        <v>46289</v>
      </c>
      <c r="J16">
        <v>48634</v>
      </c>
      <c r="K16">
        <v>2188530</v>
      </c>
      <c r="L16" t="s">
        <v>39</v>
      </c>
    </row>
    <row r="17" spans="1:12" x14ac:dyDescent="0.35">
      <c r="A17" s="4">
        <v>45689</v>
      </c>
      <c r="B17" t="s">
        <v>21</v>
      </c>
      <c r="C17" t="s">
        <v>15</v>
      </c>
      <c r="D17" t="s">
        <v>18</v>
      </c>
      <c r="E17" t="s">
        <v>20</v>
      </c>
      <c r="F17">
        <v>50</v>
      </c>
      <c r="G17">
        <v>29</v>
      </c>
      <c r="H17">
        <v>98</v>
      </c>
      <c r="I17">
        <v>5866</v>
      </c>
      <c r="J17">
        <v>14128</v>
      </c>
      <c r="K17">
        <v>706400</v>
      </c>
      <c r="L17" t="s">
        <v>39</v>
      </c>
    </row>
    <row r="18" spans="1:12" x14ac:dyDescent="0.35">
      <c r="A18" s="4">
        <v>45762</v>
      </c>
      <c r="B18" t="s">
        <v>10</v>
      </c>
      <c r="C18" t="s">
        <v>11</v>
      </c>
      <c r="D18" t="s">
        <v>16</v>
      </c>
      <c r="E18" t="s">
        <v>17</v>
      </c>
      <c r="F18">
        <v>5</v>
      </c>
      <c r="G18">
        <v>142</v>
      </c>
      <c r="H18">
        <v>114</v>
      </c>
      <c r="I18">
        <v>12611</v>
      </c>
      <c r="J18">
        <v>16492</v>
      </c>
      <c r="K18">
        <v>82460</v>
      </c>
      <c r="L18" t="s">
        <v>37</v>
      </c>
    </row>
    <row r="19" spans="1:12" x14ac:dyDescent="0.35">
      <c r="A19" s="4">
        <v>45742</v>
      </c>
      <c r="B19" t="s">
        <v>10</v>
      </c>
      <c r="C19" t="s">
        <v>11</v>
      </c>
      <c r="D19" t="s">
        <v>12</v>
      </c>
      <c r="E19" t="s">
        <v>24</v>
      </c>
      <c r="F19">
        <v>98</v>
      </c>
      <c r="G19">
        <v>149</v>
      </c>
      <c r="H19">
        <v>111</v>
      </c>
      <c r="I19">
        <v>32132</v>
      </c>
      <c r="J19">
        <v>35297</v>
      </c>
      <c r="K19">
        <v>3459106</v>
      </c>
      <c r="L19" t="s">
        <v>39</v>
      </c>
    </row>
    <row r="20" spans="1:12" x14ac:dyDescent="0.35">
      <c r="A20" s="4">
        <v>45695</v>
      </c>
      <c r="B20" t="s">
        <v>22</v>
      </c>
      <c r="C20" t="s">
        <v>15</v>
      </c>
      <c r="D20" t="s">
        <v>18</v>
      </c>
      <c r="E20" t="s">
        <v>13</v>
      </c>
      <c r="F20">
        <v>43</v>
      </c>
      <c r="G20">
        <v>139</v>
      </c>
      <c r="H20">
        <v>106</v>
      </c>
      <c r="I20">
        <v>25695</v>
      </c>
      <c r="J20">
        <v>33849</v>
      </c>
      <c r="K20">
        <v>1455507</v>
      </c>
      <c r="L20" t="s">
        <v>37</v>
      </c>
    </row>
    <row r="21" spans="1:12" x14ac:dyDescent="0.35">
      <c r="A21" s="4">
        <v>45686</v>
      </c>
      <c r="B21" t="s">
        <v>23</v>
      </c>
      <c r="C21" t="s">
        <v>15</v>
      </c>
      <c r="D21" t="s">
        <v>26</v>
      </c>
      <c r="E21" t="s">
        <v>13</v>
      </c>
      <c r="F21">
        <v>42</v>
      </c>
      <c r="G21">
        <v>55</v>
      </c>
      <c r="H21">
        <v>44</v>
      </c>
      <c r="I21">
        <v>29516</v>
      </c>
      <c r="J21">
        <v>39183</v>
      </c>
      <c r="K21">
        <v>1645686</v>
      </c>
      <c r="L21" t="s">
        <v>39</v>
      </c>
    </row>
    <row r="22" spans="1:12" x14ac:dyDescent="0.35">
      <c r="A22" s="4">
        <v>45717</v>
      </c>
      <c r="B22" t="s">
        <v>25</v>
      </c>
      <c r="C22" t="s">
        <v>15</v>
      </c>
      <c r="D22" t="s">
        <v>18</v>
      </c>
      <c r="E22" t="s">
        <v>13</v>
      </c>
      <c r="F22">
        <v>70</v>
      </c>
      <c r="G22">
        <v>107</v>
      </c>
      <c r="H22">
        <v>11</v>
      </c>
      <c r="I22">
        <v>12365</v>
      </c>
      <c r="J22">
        <v>15761</v>
      </c>
      <c r="K22">
        <v>1103270</v>
      </c>
      <c r="L22" t="s">
        <v>38</v>
      </c>
    </row>
    <row r="23" spans="1:12" x14ac:dyDescent="0.35">
      <c r="A23" s="4">
        <v>45704</v>
      </c>
      <c r="B23" t="s">
        <v>22</v>
      </c>
      <c r="C23" t="s">
        <v>15</v>
      </c>
      <c r="D23" t="s">
        <v>26</v>
      </c>
      <c r="E23" t="s">
        <v>24</v>
      </c>
      <c r="F23">
        <v>92</v>
      </c>
      <c r="G23">
        <v>126</v>
      </c>
      <c r="H23">
        <v>24</v>
      </c>
      <c r="I23">
        <v>47202</v>
      </c>
      <c r="J23">
        <v>54267</v>
      </c>
      <c r="K23">
        <v>4992564</v>
      </c>
      <c r="L23" t="s">
        <v>38</v>
      </c>
    </row>
    <row r="24" spans="1:12" x14ac:dyDescent="0.35">
      <c r="A24" s="4">
        <v>45790</v>
      </c>
      <c r="B24" t="s">
        <v>23</v>
      </c>
      <c r="C24" t="s">
        <v>15</v>
      </c>
      <c r="D24" t="s">
        <v>16</v>
      </c>
      <c r="E24" t="s">
        <v>13</v>
      </c>
      <c r="F24">
        <v>95</v>
      </c>
      <c r="G24">
        <v>63</v>
      </c>
      <c r="H24">
        <v>90</v>
      </c>
      <c r="I24">
        <v>23208</v>
      </c>
      <c r="J24">
        <v>26380</v>
      </c>
      <c r="K24">
        <v>2506100</v>
      </c>
      <c r="L24" t="s">
        <v>38</v>
      </c>
    </row>
    <row r="25" spans="1:12" x14ac:dyDescent="0.35">
      <c r="A25" s="4">
        <v>45822</v>
      </c>
      <c r="B25" t="s">
        <v>25</v>
      </c>
      <c r="C25" t="s">
        <v>15</v>
      </c>
      <c r="D25" t="s">
        <v>18</v>
      </c>
      <c r="E25" t="s">
        <v>20</v>
      </c>
      <c r="F25">
        <v>5</v>
      </c>
      <c r="G25">
        <v>27</v>
      </c>
      <c r="H25">
        <v>46</v>
      </c>
      <c r="I25">
        <v>7497</v>
      </c>
      <c r="J25">
        <v>9602</v>
      </c>
      <c r="K25">
        <v>48010</v>
      </c>
      <c r="L25" t="s">
        <v>37</v>
      </c>
    </row>
    <row r="26" spans="1:12" x14ac:dyDescent="0.35">
      <c r="A26" s="4">
        <v>45707</v>
      </c>
      <c r="B26" t="s">
        <v>23</v>
      </c>
      <c r="C26" t="s">
        <v>15</v>
      </c>
      <c r="D26" t="s">
        <v>16</v>
      </c>
      <c r="E26" t="s">
        <v>24</v>
      </c>
      <c r="F26">
        <v>64</v>
      </c>
      <c r="G26">
        <v>59</v>
      </c>
      <c r="H26">
        <v>27</v>
      </c>
      <c r="I26">
        <v>39413</v>
      </c>
      <c r="J26">
        <v>45184</v>
      </c>
      <c r="K26">
        <v>2891776</v>
      </c>
      <c r="L26" t="s">
        <v>38</v>
      </c>
    </row>
    <row r="27" spans="1:12" x14ac:dyDescent="0.35">
      <c r="A27" s="4">
        <v>45675</v>
      </c>
      <c r="B27" t="s">
        <v>21</v>
      </c>
      <c r="C27" t="s">
        <v>15</v>
      </c>
      <c r="D27" t="s">
        <v>18</v>
      </c>
      <c r="E27" t="s">
        <v>20</v>
      </c>
      <c r="F27">
        <v>95</v>
      </c>
      <c r="G27">
        <v>67</v>
      </c>
      <c r="H27">
        <v>68</v>
      </c>
      <c r="I27">
        <v>41109</v>
      </c>
      <c r="J27">
        <v>42425</v>
      </c>
      <c r="K27">
        <v>4030375</v>
      </c>
      <c r="L27" t="s">
        <v>38</v>
      </c>
    </row>
    <row r="28" spans="1:12" x14ac:dyDescent="0.35">
      <c r="A28" s="4">
        <v>45736</v>
      </c>
      <c r="B28" t="s">
        <v>14</v>
      </c>
      <c r="C28" t="s">
        <v>15</v>
      </c>
      <c r="D28" t="s">
        <v>12</v>
      </c>
      <c r="E28" t="s">
        <v>24</v>
      </c>
      <c r="F28">
        <v>72</v>
      </c>
      <c r="G28">
        <v>62</v>
      </c>
      <c r="H28">
        <v>25</v>
      </c>
      <c r="I28">
        <v>17463</v>
      </c>
      <c r="J28">
        <v>18470</v>
      </c>
      <c r="K28">
        <v>1329840</v>
      </c>
      <c r="L28" t="s">
        <v>38</v>
      </c>
    </row>
    <row r="29" spans="1:12" x14ac:dyDescent="0.35">
      <c r="A29" s="4">
        <v>45669</v>
      </c>
      <c r="B29" t="s">
        <v>10</v>
      </c>
      <c r="C29" t="s">
        <v>11</v>
      </c>
      <c r="D29" t="s">
        <v>12</v>
      </c>
      <c r="E29" t="s">
        <v>13</v>
      </c>
      <c r="F29">
        <v>90</v>
      </c>
      <c r="G29">
        <v>116</v>
      </c>
      <c r="H29">
        <v>117</v>
      </c>
      <c r="I29">
        <v>2291</v>
      </c>
      <c r="J29">
        <v>7321</v>
      </c>
      <c r="K29">
        <v>658890</v>
      </c>
      <c r="L29" t="s">
        <v>39</v>
      </c>
    </row>
    <row r="30" spans="1:12" x14ac:dyDescent="0.35">
      <c r="A30" s="4">
        <v>45796</v>
      </c>
      <c r="B30" t="s">
        <v>27</v>
      </c>
      <c r="C30" t="s">
        <v>11</v>
      </c>
      <c r="D30" t="s">
        <v>12</v>
      </c>
      <c r="E30" t="s">
        <v>17</v>
      </c>
      <c r="F30">
        <v>13</v>
      </c>
      <c r="G30">
        <v>35</v>
      </c>
      <c r="H30">
        <v>54</v>
      </c>
      <c r="I30">
        <v>10863</v>
      </c>
      <c r="J30">
        <v>17606</v>
      </c>
      <c r="K30">
        <v>228878</v>
      </c>
      <c r="L30" t="s">
        <v>37</v>
      </c>
    </row>
    <row r="31" spans="1:12" x14ac:dyDescent="0.35">
      <c r="A31" s="4">
        <v>45664</v>
      </c>
      <c r="B31" t="s">
        <v>25</v>
      </c>
      <c r="C31" t="s">
        <v>15</v>
      </c>
      <c r="D31" t="s">
        <v>16</v>
      </c>
      <c r="E31" t="s">
        <v>13</v>
      </c>
      <c r="F31">
        <v>100</v>
      </c>
      <c r="G31">
        <v>20</v>
      </c>
      <c r="H31">
        <v>107</v>
      </c>
      <c r="I31">
        <v>45700</v>
      </c>
      <c r="J31">
        <v>50728</v>
      </c>
      <c r="K31">
        <v>5072800</v>
      </c>
      <c r="L31" t="s">
        <v>39</v>
      </c>
    </row>
    <row r="32" spans="1:12" x14ac:dyDescent="0.35">
      <c r="A32" s="4">
        <v>45775</v>
      </c>
      <c r="B32" t="s">
        <v>25</v>
      </c>
      <c r="C32" t="s">
        <v>15</v>
      </c>
      <c r="D32" t="s">
        <v>26</v>
      </c>
      <c r="E32" t="s">
        <v>13</v>
      </c>
      <c r="F32">
        <v>34</v>
      </c>
      <c r="G32">
        <v>93</v>
      </c>
      <c r="H32">
        <v>20</v>
      </c>
      <c r="I32">
        <v>34417</v>
      </c>
      <c r="J32">
        <v>38553</v>
      </c>
      <c r="K32">
        <v>1310802</v>
      </c>
      <c r="L32" t="s">
        <v>38</v>
      </c>
    </row>
    <row r="33" spans="1:12" x14ac:dyDescent="0.35">
      <c r="A33" s="4">
        <v>45823</v>
      </c>
      <c r="B33" t="s">
        <v>19</v>
      </c>
      <c r="C33" t="s">
        <v>15</v>
      </c>
      <c r="D33" t="s">
        <v>18</v>
      </c>
      <c r="E33" t="s">
        <v>24</v>
      </c>
      <c r="F33">
        <v>81</v>
      </c>
      <c r="G33">
        <v>26</v>
      </c>
      <c r="H33">
        <v>34</v>
      </c>
      <c r="I33">
        <v>37619</v>
      </c>
      <c r="J33">
        <v>46545</v>
      </c>
      <c r="K33">
        <v>3770145</v>
      </c>
      <c r="L33" t="s">
        <v>38</v>
      </c>
    </row>
    <row r="34" spans="1:12" x14ac:dyDescent="0.35">
      <c r="A34" s="4">
        <v>45738</v>
      </c>
      <c r="B34" t="s">
        <v>19</v>
      </c>
      <c r="C34" t="s">
        <v>15</v>
      </c>
      <c r="D34" t="s">
        <v>26</v>
      </c>
      <c r="E34" t="s">
        <v>13</v>
      </c>
      <c r="F34">
        <v>34</v>
      </c>
      <c r="G34">
        <v>120</v>
      </c>
      <c r="H34">
        <v>43</v>
      </c>
      <c r="I34">
        <v>29954</v>
      </c>
      <c r="J34">
        <v>32738</v>
      </c>
      <c r="K34">
        <v>1113092</v>
      </c>
      <c r="L34" t="s">
        <v>39</v>
      </c>
    </row>
    <row r="35" spans="1:12" x14ac:dyDescent="0.35">
      <c r="A35" s="4">
        <v>45675</v>
      </c>
      <c r="B35" t="s">
        <v>21</v>
      </c>
      <c r="C35" t="s">
        <v>15</v>
      </c>
      <c r="D35" t="s">
        <v>16</v>
      </c>
      <c r="E35" t="s">
        <v>20</v>
      </c>
      <c r="F35">
        <v>50</v>
      </c>
      <c r="G35">
        <v>37</v>
      </c>
      <c r="H35">
        <v>73</v>
      </c>
      <c r="I35">
        <v>25409</v>
      </c>
      <c r="J35">
        <v>27522</v>
      </c>
      <c r="K35">
        <v>1376100</v>
      </c>
      <c r="L35" t="s">
        <v>39</v>
      </c>
    </row>
    <row r="36" spans="1:12" x14ac:dyDescent="0.35">
      <c r="A36" s="4">
        <v>45702</v>
      </c>
      <c r="B36" t="s">
        <v>22</v>
      </c>
      <c r="C36" t="s">
        <v>15</v>
      </c>
      <c r="D36" t="s">
        <v>18</v>
      </c>
      <c r="E36" t="s">
        <v>13</v>
      </c>
      <c r="F36">
        <v>22</v>
      </c>
      <c r="G36">
        <v>61</v>
      </c>
      <c r="H36">
        <v>115</v>
      </c>
      <c r="I36">
        <v>11632</v>
      </c>
      <c r="J36">
        <v>17717</v>
      </c>
      <c r="K36">
        <v>389774</v>
      </c>
      <c r="L36" t="s">
        <v>37</v>
      </c>
    </row>
    <row r="37" spans="1:12" x14ac:dyDescent="0.35">
      <c r="A37" s="4">
        <v>45782</v>
      </c>
      <c r="B37" t="s">
        <v>23</v>
      </c>
      <c r="C37" t="s">
        <v>15</v>
      </c>
      <c r="D37" t="s">
        <v>12</v>
      </c>
      <c r="E37" t="s">
        <v>13</v>
      </c>
      <c r="F37">
        <v>40</v>
      </c>
      <c r="G37">
        <v>29</v>
      </c>
      <c r="H37">
        <v>76</v>
      </c>
      <c r="I37">
        <v>18319</v>
      </c>
      <c r="J37">
        <v>24084</v>
      </c>
      <c r="K37">
        <v>963360</v>
      </c>
      <c r="L37" t="s">
        <v>39</v>
      </c>
    </row>
    <row r="38" spans="1:12" x14ac:dyDescent="0.35">
      <c r="A38" s="4">
        <v>45811</v>
      </c>
      <c r="B38" t="s">
        <v>27</v>
      </c>
      <c r="C38" t="s">
        <v>11</v>
      </c>
      <c r="D38" t="s">
        <v>12</v>
      </c>
      <c r="E38" t="s">
        <v>20</v>
      </c>
      <c r="F38">
        <v>39</v>
      </c>
      <c r="G38">
        <v>57</v>
      </c>
      <c r="H38">
        <v>73</v>
      </c>
      <c r="I38">
        <v>16173</v>
      </c>
      <c r="J38">
        <v>24313</v>
      </c>
      <c r="K38">
        <v>948207</v>
      </c>
      <c r="L38" t="s">
        <v>39</v>
      </c>
    </row>
    <row r="39" spans="1:12" x14ac:dyDescent="0.35">
      <c r="A39" s="4">
        <v>45832</v>
      </c>
      <c r="B39" t="s">
        <v>22</v>
      </c>
      <c r="C39" t="s">
        <v>15</v>
      </c>
      <c r="D39" t="s">
        <v>18</v>
      </c>
      <c r="E39" t="s">
        <v>13</v>
      </c>
      <c r="F39">
        <v>66</v>
      </c>
      <c r="G39">
        <v>23</v>
      </c>
      <c r="H39">
        <v>104</v>
      </c>
      <c r="I39">
        <v>15939</v>
      </c>
      <c r="J39">
        <v>21429</v>
      </c>
      <c r="K39">
        <v>1414314</v>
      </c>
      <c r="L39" t="s">
        <v>39</v>
      </c>
    </row>
    <row r="40" spans="1:12" x14ac:dyDescent="0.35">
      <c r="A40" s="4">
        <v>45833</v>
      </c>
      <c r="B40" t="s">
        <v>25</v>
      </c>
      <c r="C40" t="s">
        <v>15</v>
      </c>
      <c r="D40" t="s">
        <v>16</v>
      </c>
      <c r="E40" t="s">
        <v>24</v>
      </c>
      <c r="F40">
        <v>11</v>
      </c>
      <c r="G40">
        <v>44</v>
      </c>
      <c r="H40">
        <v>81</v>
      </c>
      <c r="I40">
        <v>3815</v>
      </c>
      <c r="J40">
        <v>7389</v>
      </c>
      <c r="K40">
        <v>81279</v>
      </c>
      <c r="L40" t="s">
        <v>37</v>
      </c>
    </row>
    <row r="41" spans="1:12" x14ac:dyDescent="0.35">
      <c r="A41" s="4">
        <v>45755</v>
      </c>
      <c r="B41" t="s">
        <v>14</v>
      </c>
      <c r="C41" t="s">
        <v>15</v>
      </c>
      <c r="D41" t="s">
        <v>18</v>
      </c>
      <c r="E41" t="s">
        <v>24</v>
      </c>
      <c r="F41">
        <v>30</v>
      </c>
      <c r="G41">
        <v>60</v>
      </c>
      <c r="H41">
        <v>90</v>
      </c>
      <c r="I41">
        <v>48287</v>
      </c>
      <c r="J41">
        <v>56626</v>
      </c>
      <c r="K41">
        <v>1698780</v>
      </c>
      <c r="L41" t="s">
        <v>37</v>
      </c>
    </row>
    <row r="42" spans="1:12" x14ac:dyDescent="0.35">
      <c r="A42" s="4">
        <v>45741</v>
      </c>
      <c r="B42" t="s">
        <v>14</v>
      </c>
      <c r="C42" t="s">
        <v>15</v>
      </c>
      <c r="D42" t="s">
        <v>12</v>
      </c>
      <c r="E42" t="s">
        <v>24</v>
      </c>
      <c r="F42">
        <v>23</v>
      </c>
      <c r="G42">
        <v>83</v>
      </c>
      <c r="H42">
        <v>42</v>
      </c>
      <c r="I42">
        <v>2561</v>
      </c>
      <c r="J42">
        <v>8087</v>
      </c>
      <c r="K42">
        <v>186001</v>
      </c>
      <c r="L42" t="s">
        <v>39</v>
      </c>
    </row>
    <row r="43" spans="1:12" x14ac:dyDescent="0.35">
      <c r="A43" s="4">
        <v>45756</v>
      </c>
      <c r="B43" t="s">
        <v>21</v>
      </c>
      <c r="C43" t="s">
        <v>15</v>
      </c>
      <c r="D43" t="s">
        <v>12</v>
      </c>
      <c r="E43" t="s">
        <v>13</v>
      </c>
      <c r="F43">
        <v>19</v>
      </c>
      <c r="G43">
        <v>102</v>
      </c>
      <c r="H43">
        <v>31</v>
      </c>
      <c r="I43">
        <v>9786</v>
      </c>
      <c r="J43">
        <v>14897</v>
      </c>
      <c r="K43">
        <v>283043</v>
      </c>
      <c r="L43" t="s">
        <v>39</v>
      </c>
    </row>
    <row r="44" spans="1:12" x14ac:dyDescent="0.35">
      <c r="A44" s="4">
        <v>45796</v>
      </c>
      <c r="B44" t="s">
        <v>21</v>
      </c>
      <c r="C44" t="s">
        <v>15</v>
      </c>
      <c r="D44" t="s">
        <v>16</v>
      </c>
      <c r="E44" t="s">
        <v>13</v>
      </c>
      <c r="F44">
        <v>9</v>
      </c>
      <c r="G44">
        <v>109</v>
      </c>
      <c r="H44">
        <v>51</v>
      </c>
      <c r="I44">
        <v>516</v>
      </c>
      <c r="J44">
        <v>9481</v>
      </c>
      <c r="K44">
        <v>85329</v>
      </c>
      <c r="L44" t="s">
        <v>37</v>
      </c>
    </row>
    <row r="45" spans="1:12" x14ac:dyDescent="0.35">
      <c r="A45" s="4">
        <v>45813</v>
      </c>
      <c r="B45" t="s">
        <v>19</v>
      </c>
      <c r="C45" t="s">
        <v>15</v>
      </c>
      <c r="D45" t="s">
        <v>26</v>
      </c>
      <c r="E45" t="s">
        <v>13</v>
      </c>
      <c r="F45">
        <v>71</v>
      </c>
      <c r="G45">
        <v>47</v>
      </c>
      <c r="H45">
        <v>5</v>
      </c>
      <c r="I45">
        <v>6277</v>
      </c>
      <c r="J45">
        <v>13495</v>
      </c>
      <c r="K45">
        <v>958145</v>
      </c>
      <c r="L45" t="s">
        <v>38</v>
      </c>
    </row>
    <row r="46" spans="1:12" x14ac:dyDescent="0.35">
      <c r="A46" s="4">
        <v>45758</v>
      </c>
      <c r="B46" t="s">
        <v>23</v>
      </c>
      <c r="C46" t="s">
        <v>15</v>
      </c>
      <c r="D46" t="s">
        <v>16</v>
      </c>
      <c r="E46" t="s">
        <v>17</v>
      </c>
      <c r="F46">
        <v>57</v>
      </c>
      <c r="G46">
        <v>105</v>
      </c>
      <c r="H46">
        <v>26</v>
      </c>
      <c r="I46">
        <v>49892</v>
      </c>
      <c r="J46">
        <v>50950</v>
      </c>
      <c r="K46">
        <v>2904150</v>
      </c>
      <c r="L46" t="s">
        <v>38</v>
      </c>
    </row>
    <row r="47" spans="1:12" x14ac:dyDescent="0.35">
      <c r="A47" s="4">
        <v>45663</v>
      </c>
      <c r="B47" t="s">
        <v>19</v>
      </c>
      <c r="C47" t="s">
        <v>15</v>
      </c>
      <c r="D47" t="s">
        <v>26</v>
      </c>
      <c r="E47" t="s">
        <v>17</v>
      </c>
      <c r="F47">
        <v>70</v>
      </c>
      <c r="G47">
        <v>96</v>
      </c>
      <c r="H47">
        <v>62</v>
      </c>
      <c r="I47">
        <v>12634</v>
      </c>
      <c r="J47">
        <v>14900</v>
      </c>
      <c r="K47">
        <v>1043000</v>
      </c>
      <c r="L47" t="s">
        <v>38</v>
      </c>
    </row>
    <row r="48" spans="1:12" x14ac:dyDescent="0.35">
      <c r="A48" s="4">
        <v>45740</v>
      </c>
      <c r="B48" t="s">
        <v>25</v>
      </c>
      <c r="C48" t="s">
        <v>15</v>
      </c>
      <c r="D48" t="s">
        <v>16</v>
      </c>
      <c r="E48" t="s">
        <v>20</v>
      </c>
      <c r="F48">
        <v>86</v>
      </c>
      <c r="G48">
        <v>114</v>
      </c>
      <c r="H48">
        <v>92</v>
      </c>
      <c r="I48">
        <v>46513</v>
      </c>
      <c r="J48">
        <v>52257</v>
      </c>
      <c r="K48">
        <v>4494102</v>
      </c>
      <c r="L48" t="s">
        <v>39</v>
      </c>
    </row>
    <row r="49" spans="1:12" x14ac:dyDescent="0.35">
      <c r="A49" s="4">
        <v>45753</v>
      </c>
      <c r="B49" t="s">
        <v>22</v>
      </c>
      <c r="C49" t="s">
        <v>15</v>
      </c>
      <c r="D49" t="s">
        <v>18</v>
      </c>
      <c r="E49" t="s">
        <v>13</v>
      </c>
      <c r="F49">
        <v>63</v>
      </c>
      <c r="G49">
        <v>115</v>
      </c>
      <c r="H49">
        <v>80</v>
      </c>
      <c r="I49">
        <v>40090</v>
      </c>
      <c r="J49">
        <v>44006</v>
      </c>
      <c r="K49">
        <v>2772378</v>
      </c>
      <c r="L49" t="s">
        <v>39</v>
      </c>
    </row>
    <row r="50" spans="1:12" x14ac:dyDescent="0.35">
      <c r="A50" s="4">
        <v>45673</v>
      </c>
      <c r="B50" t="s">
        <v>19</v>
      </c>
      <c r="C50" t="s">
        <v>15</v>
      </c>
      <c r="D50" t="s">
        <v>12</v>
      </c>
      <c r="E50" t="s">
        <v>17</v>
      </c>
      <c r="F50">
        <v>26</v>
      </c>
      <c r="G50">
        <v>61</v>
      </c>
      <c r="H50">
        <v>99</v>
      </c>
      <c r="I50">
        <v>20017</v>
      </c>
      <c r="J50">
        <v>27139</v>
      </c>
      <c r="K50">
        <v>705614</v>
      </c>
      <c r="L50" t="s">
        <v>37</v>
      </c>
    </row>
    <row r="51" spans="1:12" x14ac:dyDescent="0.35">
      <c r="A51" s="4">
        <v>45707</v>
      </c>
      <c r="B51" t="s">
        <v>14</v>
      </c>
      <c r="C51" t="s">
        <v>15</v>
      </c>
      <c r="D51" t="s">
        <v>26</v>
      </c>
      <c r="E51" t="s">
        <v>17</v>
      </c>
      <c r="F51">
        <v>63</v>
      </c>
      <c r="G51">
        <v>145</v>
      </c>
      <c r="H51">
        <v>34</v>
      </c>
      <c r="I51">
        <v>42673</v>
      </c>
      <c r="J51">
        <v>43679</v>
      </c>
      <c r="K51">
        <v>2751777</v>
      </c>
      <c r="L51" t="s">
        <v>38</v>
      </c>
    </row>
    <row r="52" spans="1:12" x14ac:dyDescent="0.35">
      <c r="A52" s="4">
        <v>45824</v>
      </c>
      <c r="B52" t="s">
        <v>10</v>
      </c>
      <c r="C52" t="s">
        <v>11</v>
      </c>
      <c r="D52" t="s">
        <v>18</v>
      </c>
      <c r="E52" t="s">
        <v>20</v>
      </c>
      <c r="F52">
        <v>32</v>
      </c>
      <c r="G52">
        <v>92</v>
      </c>
      <c r="H52">
        <v>21</v>
      </c>
      <c r="I52">
        <v>11980</v>
      </c>
      <c r="J52">
        <v>18051</v>
      </c>
      <c r="K52">
        <v>577632</v>
      </c>
      <c r="L52" t="s">
        <v>38</v>
      </c>
    </row>
    <row r="53" spans="1:12" x14ac:dyDescent="0.35">
      <c r="A53" s="4">
        <v>45661</v>
      </c>
      <c r="B53" t="s">
        <v>25</v>
      </c>
      <c r="C53" t="s">
        <v>15</v>
      </c>
      <c r="D53" t="s">
        <v>16</v>
      </c>
      <c r="E53" t="s">
        <v>17</v>
      </c>
      <c r="F53">
        <v>6</v>
      </c>
      <c r="G53">
        <v>32</v>
      </c>
      <c r="H53">
        <v>8</v>
      </c>
      <c r="I53">
        <v>14877</v>
      </c>
      <c r="J53">
        <v>24437</v>
      </c>
      <c r="K53">
        <v>146622</v>
      </c>
      <c r="L53" t="s">
        <v>39</v>
      </c>
    </row>
    <row r="54" spans="1:12" x14ac:dyDescent="0.35">
      <c r="A54" s="4">
        <v>45791</v>
      </c>
      <c r="B54" t="s">
        <v>27</v>
      </c>
      <c r="C54" t="s">
        <v>11</v>
      </c>
      <c r="D54" t="s">
        <v>16</v>
      </c>
      <c r="E54" t="s">
        <v>20</v>
      </c>
      <c r="F54">
        <v>25</v>
      </c>
      <c r="G54">
        <v>111</v>
      </c>
      <c r="H54">
        <v>76</v>
      </c>
      <c r="I54">
        <v>39787</v>
      </c>
      <c r="J54">
        <v>46675</v>
      </c>
      <c r="K54">
        <v>1166875</v>
      </c>
      <c r="L54" t="s">
        <v>37</v>
      </c>
    </row>
    <row r="55" spans="1:12" x14ac:dyDescent="0.35">
      <c r="A55" s="4">
        <v>45820</v>
      </c>
      <c r="B55" t="s">
        <v>21</v>
      </c>
      <c r="C55" t="s">
        <v>15</v>
      </c>
      <c r="D55" t="s">
        <v>16</v>
      </c>
      <c r="E55" t="s">
        <v>13</v>
      </c>
      <c r="F55">
        <v>30</v>
      </c>
      <c r="G55">
        <v>24</v>
      </c>
      <c r="H55">
        <v>25</v>
      </c>
      <c r="I55">
        <v>5022</v>
      </c>
      <c r="J55">
        <v>9115</v>
      </c>
      <c r="K55">
        <v>273450</v>
      </c>
      <c r="L55" t="s">
        <v>38</v>
      </c>
    </row>
    <row r="56" spans="1:12" x14ac:dyDescent="0.35">
      <c r="A56" s="4">
        <v>45664</v>
      </c>
      <c r="B56" t="s">
        <v>14</v>
      </c>
      <c r="C56" t="s">
        <v>15</v>
      </c>
      <c r="D56" t="s">
        <v>12</v>
      </c>
      <c r="E56" t="s">
        <v>24</v>
      </c>
      <c r="F56">
        <v>28</v>
      </c>
      <c r="G56">
        <v>23</v>
      </c>
      <c r="H56">
        <v>0</v>
      </c>
      <c r="I56">
        <v>26419</v>
      </c>
      <c r="J56">
        <v>35249</v>
      </c>
      <c r="K56">
        <v>986972</v>
      </c>
      <c r="L56" t="s">
        <v>38</v>
      </c>
    </row>
    <row r="57" spans="1:12" x14ac:dyDescent="0.35">
      <c r="A57" s="4">
        <v>45686</v>
      </c>
      <c r="B57" t="s">
        <v>27</v>
      </c>
      <c r="C57" t="s">
        <v>11</v>
      </c>
      <c r="D57" t="s">
        <v>18</v>
      </c>
      <c r="E57" t="s">
        <v>13</v>
      </c>
      <c r="F57">
        <v>9</v>
      </c>
      <c r="G57">
        <v>77</v>
      </c>
      <c r="H57">
        <v>24</v>
      </c>
      <c r="I57">
        <v>9564</v>
      </c>
      <c r="J57">
        <v>17881</v>
      </c>
      <c r="K57">
        <v>160929</v>
      </c>
      <c r="L57" t="s">
        <v>37</v>
      </c>
    </row>
    <row r="58" spans="1:12" x14ac:dyDescent="0.35">
      <c r="A58" s="4">
        <v>45736</v>
      </c>
      <c r="B58" t="s">
        <v>21</v>
      </c>
      <c r="C58" t="s">
        <v>15</v>
      </c>
      <c r="D58" t="s">
        <v>18</v>
      </c>
      <c r="E58" t="s">
        <v>13</v>
      </c>
      <c r="F58">
        <v>74</v>
      </c>
      <c r="G58">
        <v>105</v>
      </c>
      <c r="H58">
        <v>27</v>
      </c>
      <c r="I58">
        <v>31964</v>
      </c>
      <c r="J58">
        <v>34472</v>
      </c>
      <c r="K58">
        <v>2550928</v>
      </c>
      <c r="L58" t="s">
        <v>38</v>
      </c>
    </row>
    <row r="59" spans="1:12" x14ac:dyDescent="0.35">
      <c r="A59" s="4">
        <v>45742</v>
      </c>
      <c r="B59" t="s">
        <v>14</v>
      </c>
      <c r="C59" t="s">
        <v>15</v>
      </c>
      <c r="D59" t="s">
        <v>12</v>
      </c>
      <c r="E59" t="s">
        <v>20</v>
      </c>
      <c r="F59">
        <v>21</v>
      </c>
      <c r="G59">
        <v>77</v>
      </c>
      <c r="H59">
        <v>110</v>
      </c>
      <c r="I59">
        <v>28336</v>
      </c>
      <c r="J59">
        <v>36425</v>
      </c>
      <c r="K59">
        <v>764925</v>
      </c>
      <c r="L59" t="s">
        <v>37</v>
      </c>
    </row>
    <row r="60" spans="1:12" x14ac:dyDescent="0.35">
      <c r="A60" s="4">
        <v>45691</v>
      </c>
      <c r="B60" t="s">
        <v>25</v>
      </c>
      <c r="C60" t="s">
        <v>15</v>
      </c>
      <c r="D60" t="s">
        <v>18</v>
      </c>
      <c r="E60" t="s">
        <v>24</v>
      </c>
      <c r="F60">
        <v>12</v>
      </c>
      <c r="G60">
        <v>149</v>
      </c>
      <c r="H60">
        <v>11</v>
      </c>
      <c r="I60">
        <v>32697</v>
      </c>
      <c r="J60">
        <v>35984</v>
      </c>
      <c r="K60">
        <v>431808</v>
      </c>
      <c r="L60" t="s">
        <v>38</v>
      </c>
    </row>
    <row r="61" spans="1:12" x14ac:dyDescent="0.35">
      <c r="A61" s="4">
        <v>45715</v>
      </c>
      <c r="B61" t="s">
        <v>10</v>
      </c>
      <c r="C61" t="s">
        <v>11</v>
      </c>
      <c r="D61" t="s">
        <v>16</v>
      </c>
      <c r="E61" t="s">
        <v>17</v>
      </c>
      <c r="F61">
        <v>17</v>
      </c>
      <c r="G61">
        <v>81</v>
      </c>
      <c r="H61">
        <v>73</v>
      </c>
      <c r="I61">
        <v>32415</v>
      </c>
      <c r="J61">
        <v>42180</v>
      </c>
      <c r="K61">
        <v>717060</v>
      </c>
      <c r="L61" t="s">
        <v>37</v>
      </c>
    </row>
    <row r="62" spans="1:12" x14ac:dyDescent="0.35">
      <c r="A62" s="4">
        <v>45800</v>
      </c>
      <c r="B62" t="s">
        <v>14</v>
      </c>
      <c r="C62" t="s">
        <v>15</v>
      </c>
      <c r="D62" t="s">
        <v>18</v>
      </c>
      <c r="E62" t="s">
        <v>17</v>
      </c>
      <c r="F62">
        <v>57</v>
      </c>
      <c r="G62">
        <v>140</v>
      </c>
      <c r="H62">
        <v>116</v>
      </c>
      <c r="I62">
        <v>28131</v>
      </c>
      <c r="J62">
        <v>35167</v>
      </c>
      <c r="K62">
        <v>2004519</v>
      </c>
      <c r="L62" t="s">
        <v>37</v>
      </c>
    </row>
    <row r="63" spans="1:12" x14ac:dyDescent="0.35">
      <c r="A63" s="4">
        <v>45679</v>
      </c>
      <c r="B63" t="s">
        <v>14</v>
      </c>
      <c r="C63" t="s">
        <v>15</v>
      </c>
      <c r="D63" t="s">
        <v>18</v>
      </c>
      <c r="E63" t="s">
        <v>13</v>
      </c>
      <c r="F63">
        <v>48</v>
      </c>
      <c r="G63">
        <v>150</v>
      </c>
      <c r="H63">
        <v>119</v>
      </c>
      <c r="I63">
        <v>4059</v>
      </c>
      <c r="J63">
        <v>12116</v>
      </c>
      <c r="K63">
        <v>581568</v>
      </c>
      <c r="L63" t="s">
        <v>37</v>
      </c>
    </row>
    <row r="64" spans="1:12" x14ac:dyDescent="0.35">
      <c r="A64" s="4">
        <v>45833</v>
      </c>
      <c r="B64" t="s">
        <v>22</v>
      </c>
      <c r="C64" t="s">
        <v>15</v>
      </c>
      <c r="D64" t="s">
        <v>16</v>
      </c>
      <c r="E64" t="s">
        <v>24</v>
      </c>
      <c r="F64">
        <v>61</v>
      </c>
      <c r="G64">
        <v>22</v>
      </c>
      <c r="H64">
        <v>42</v>
      </c>
      <c r="I64">
        <v>21696</v>
      </c>
      <c r="J64">
        <v>26490</v>
      </c>
      <c r="K64">
        <v>1615890</v>
      </c>
      <c r="L64" t="s">
        <v>38</v>
      </c>
    </row>
    <row r="65" spans="1:12" x14ac:dyDescent="0.35">
      <c r="A65" s="4">
        <v>45798</v>
      </c>
      <c r="B65" t="s">
        <v>23</v>
      </c>
      <c r="C65" t="s">
        <v>15</v>
      </c>
      <c r="D65" t="s">
        <v>18</v>
      </c>
      <c r="E65" t="s">
        <v>13</v>
      </c>
      <c r="F65">
        <v>26</v>
      </c>
      <c r="G65">
        <v>55</v>
      </c>
      <c r="H65">
        <v>19</v>
      </c>
      <c r="I65">
        <v>7231</v>
      </c>
      <c r="J65">
        <v>9248</v>
      </c>
      <c r="K65">
        <v>240448</v>
      </c>
      <c r="L65" t="s">
        <v>38</v>
      </c>
    </row>
    <row r="66" spans="1:12" x14ac:dyDescent="0.35">
      <c r="A66" s="4">
        <v>45670</v>
      </c>
      <c r="B66" t="s">
        <v>22</v>
      </c>
      <c r="C66" t="s">
        <v>15</v>
      </c>
      <c r="D66" t="s">
        <v>26</v>
      </c>
      <c r="E66" t="s">
        <v>13</v>
      </c>
      <c r="F66">
        <v>48</v>
      </c>
      <c r="G66">
        <v>71</v>
      </c>
      <c r="H66">
        <v>19</v>
      </c>
      <c r="I66">
        <v>43045</v>
      </c>
      <c r="J66">
        <v>49746</v>
      </c>
      <c r="K66">
        <v>2387808</v>
      </c>
      <c r="L66" t="s">
        <v>38</v>
      </c>
    </row>
    <row r="67" spans="1:12" x14ac:dyDescent="0.35">
      <c r="A67" s="4">
        <v>45687</v>
      </c>
      <c r="B67" t="s">
        <v>10</v>
      </c>
      <c r="C67" t="s">
        <v>11</v>
      </c>
      <c r="D67" t="s">
        <v>16</v>
      </c>
      <c r="E67" t="s">
        <v>24</v>
      </c>
      <c r="F67">
        <v>81</v>
      </c>
      <c r="G67">
        <v>130</v>
      </c>
      <c r="H67">
        <v>24</v>
      </c>
      <c r="I67">
        <v>32984</v>
      </c>
      <c r="J67">
        <v>41340</v>
      </c>
      <c r="K67">
        <v>3348540</v>
      </c>
      <c r="L67" t="s">
        <v>38</v>
      </c>
    </row>
    <row r="68" spans="1:12" x14ac:dyDescent="0.35">
      <c r="A68" s="4">
        <v>45672</v>
      </c>
      <c r="B68" t="s">
        <v>21</v>
      </c>
      <c r="C68" t="s">
        <v>15</v>
      </c>
      <c r="D68" t="s">
        <v>12</v>
      </c>
      <c r="E68" t="s">
        <v>13</v>
      </c>
      <c r="F68">
        <v>45</v>
      </c>
      <c r="G68">
        <v>121</v>
      </c>
      <c r="H68">
        <v>32</v>
      </c>
      <c r="I68">
        <v>47569</v>
      </c>
      <c r="J68">
        <v>54253</v>
      </c>
      <c r="K68">
        <v>2441385</v>
      </c>
      <c r="L68" t="s">
        <v>38</v>
      </c>
    </row>
    <row r="69" spans="1:12" x14ac:dyDescent="0.35">
      <c r="A69" s="4">
        <v>45834</v>
      </c>
      <c r="B69" t="s">
        <v>25</v>
      </c>
      <c r="C69" t="s">
        <v>15</v>
      </c>
      <c r="D69" t="s">
        <v>16</v>
      </c>
      <c r="E69" t="s">
        <v>24</v>
      </c>
      <c r="F69">
        <v>14</v>
      </c>
      <c r="G69">
        <v>103</v>
      </c>
      <c r="H69">
        <v>26</v>
      </c>
      <c r="I69">
        <v>5870</v>
      </c>
      <c r="J69">
        <v>8069</v>
      </c>
      <c r="K69">
        <v>112966</v>
      </c>
      <c r="L69" t="s">
        <v>39</v>
      </c>
    </row>
    <row r="70" spans="1:12" x14ac:dyDescent="0.35">
      <c r="A70" s="4">
        <v>45807</v>
      </c>
      <c r="B70" t="s">
        <v>10</v>
      </c>
      <c r="C70" t="s">
        <v>11</v>
      </c>
      <c r="D70" t="s">
        <v>16</v>
      </c>
      <c r="E70" t="s">
        <v>20</v>
      </c>
      <c r="F70">
        <v>65</v>
      </c>
      <c r="G70">
        <v>41</v>
      </c>
      <c r="H70">
        <v>47</v>
      </c>
      <c r="I70">
        <v>29729</v>
      </c>
      <c r="J70">
        <v>34680</v>
      </c>
      <c r="K70">
        <v>2254200</v>
      </c>
      <c r="L70" t="s">
        <v>38</v>
      </c>
    </row>
    <row r="71" spans="1:12" x14ac:dyDescent="0.35">
      <c r="A71" s="4">
        <v>45719</v>
      </c>
      <c r="B71" t="s">
        <v>27</v>
      </c>
      <c r="C71" t="s">
        <v>11</v>
      </c>
      <c r="D71" t="s">
        <v>16</v>
      </c>
      <c r="E71" t="s">
        <v>24</v>
      </c>
      <c r="F71">
        <v>88</v>
      </c>
      <c r="G71">
        <v>80</v>
      </c>
      <c r="H71">
        <v>9</v>
      </c>
      <c r="I71">
        <v>43197</v>
      </c>
      <c r="J71">
        <v>50846</v>
      </c>
      <c r="K71">
        <v>4474448</v>
      </c>
      <c r="L71" t="s">
        <v>38</v>
      </c>
    </row>
    <row r="72" spans="1:12" x14ac:dyDescent="0.35">
      <c r="A72" s="4">
        <v>45798</v>
      </c>
      <c r="B72" t="s">
        <v>10</v>
      </c>
      <c r="C72" t="s">
        <v>11</v>
      </c>
      <c r="D72" t="s">
        <v>26</v>
      </c>
      <c r="E72" t="s">
        <v>13</v>
      </c>
      <c r="F72">
        <v>10</v>
      </c>
      <c r="G72">
        <v>26</v>
      </c>
      <c r="H72">
        <v>74</v>
      </c>
      <c r="I72">
        <v>21614</v>
      </c>
      <c r="J72">
        <v>22265</v>
      </c>
      <c r="K72">
        <v>222650</v>
      </c>
      <c r="L72" t="s">
        <v>37</v>
      </c>
    </row>
    <row r="73" spans="1:12" x14ac:dyDescent="0.35">
      <c r="A73" s="4">
        <v>45705</v>
      </c>
      <c r="B73" t="s">
        <v>23</v>
      </c>
      <c r="C73" t="s">
        <v>15</v>
      </c>
      <c r="D73" t="s">
        <v>26</v>
      </c>
      <c r="E73" t="s">
        <v>24</v>
      </c>
      <c r="F73">
        <v>14</v>
      </c>
      <c r="G73">
        <v>78</v>
      </c>
      <c r="H73">
        <v>49</v>
      </c>
      <c r="I73">
        <v>16743</v>
      </c>
      <c r="J73">
        <v>25314</v>
      </c>
      <c r="K73">
        <v>354396</v>
      </c>
      <c r="L73" t="s">
        <v>37</v>
      </c>
    </row>
    <row r="74" spans="1:12" x14ac:dyDescent="0.35">
      <c r="A74" s="4">
        <v>45673</v>
      </c>
      <c r="B74" t="s">
        <v>22</v>
      </c>
      <c r="C74" t="s">
        <v>15</v>
      </c>
      <c r="D74" t="s">
        <v>26</v>
      </c>
      <c r="E74" t="s">
        <v>20</v>
      </c>
      <c r="F74">
        <v>71</v>
      </c>
      <c r="G74">
        <v>50</v>
      </c>
      <c r="H74">
        <v>17</v>
      </c>
      <c r="I74">
        <v>21246</v>
      </c>
      <c r="J74">
        <v>26614</v>
      </c>
      <c r="K74">
        <v>1889594</v>
      </c>
      <c r="L74" t="s">
        <v>38</v>
      </c>
    </row>
    <row r="75" spans="1:12" x14ac:dyDescent="0.35">
      <c r="A75" s="4">
        <v>45667</v>
      </c>
      <c r="B75" t="s">
        <v>19</v>
      </c>
      <c r="C75" t="s">
        <v>15</v>
      </c>
      <c r="D75" t="s">
        <v>16</v>
      </c>
      <c r="E75" t="s">
        <v>24</v>
      </c>
      <c r="F75">
        <v>5</v>
      </c>
      <c r="G75">
        <v>28</v>
      </c>
      <c r="H75">
        <v>88</v>
      </c>
      <c r="I75">
        <v>36821</v>
      </c>
      <c r="J75">
        <v>39868</v>
      </c>
      <c r="K75">
        <v>199340</v>
      </c>
      <c r="L75" t="s">
        <v>37</v>
      </c>
    </row>
    <row r="76" spans="1:12" x14ac:dyDescent="0.35">
      <c r="A76" s="4">
        <v>45688</v>
      </c>
      <c r="B76" t="s">
        <v>27</v>
      </c>
      <c r="C76" t="s">
        <v>11</v>
      </c>
      <c r="D76" t="s">
        <v>16</v>
      </c>
      <c r="E76" t="s">
        <v>13</v>
      </c>
      <c r="F76">
        <v>8</v>
      </c>
      <c r="G76">
        <v>63</v>
      </c>
      <c r="H76">
        <v>60</v>
      </c>
      <c r="I76">
        <v>24441</v>
      </c>
      <c r="J76">
        <v>29332</v>
      </c>
      <c r="K76">
        <v>234656</v>
      </c>
      <c r="L76" t="s">
        <v>37</v>
      </c>
    </row>
    <row r="77" spans="1:12" x14ac:dyDescent="0.35">
      <c r="A77" s="4">
        <v>45679</v>
      </c>
      <c r="B77" t="s">
        <v>22</v>
      </c>
      <c r="C77" t="s">
        <v>15</v>
      </c>
      <c r="D77" t="s">
        <v>16</v>
      </c>
      <c r="E77" t="s">
        <v>13</v>
      </c>
      <c r="F77">
        <v>8</v>
      </c>
      <c r="G77">
        <v>34</v>
      </c>
      <c r="H77">
        <v>16</v>
      </c>
      <c r="I77">
        <v>5830</v>
      </c>
      <c r="J77">
        <v>14376</v>
      </c>
      <c r="K77">
        <v>115008</v>
      </c>
      <c r="L77" t="s">
        <v>39</v>
      </c>
    </row>
    <row r="78" spans="1:12" x14ac:dyDescent="0.35">
      <c r="A78" s="4">
        <v>45800</v>
      </c>
      <c r="B78" t="s">
        <v>27</v>
      </c>
      <c r="C78" t="s">
        <v>11</v>
      </c>
      <c r="D78" t="s">
        <v>26</v>
      </c>
      <c r="E78" t="s">
        <v>24</v>
      </c>
      <c r="F78">
        <v>14</v>
      </c>
      <c r="G78">
        <v>60</v>
      </c>
      <c r="H78">
        <v>69</v>
      </c>
      <c r="I78">
        <v>43613</v>
      </c>
      <c r="J78">
        <v>49445</v>
      </c>
      <c r="K78">
        <v>692230</v>
      </c>
      <c r="L78" t="s">
        <v>37</v>
      </c>
    </row>
    <row r="79" spans="1:12" x14ac:dyDescent="0.35">
      <c r="A79" s="4">
        <v>45682</v>
      </c>
      <c r="B79" t="s">
        <v>21</v>
      </c>
      <c r="C79" t="s">
        <v>15</v>
      </c>
      <c r="D79" t="s">
        <v>18</v>
      </c>
      <c r="E79" t="s">
        <v>20</v>
      </c>
      <c r="F79">
        <v>26</v>
      </c>
      <c r="G79">
        <v>73</v>
      </c>
      <c r="H79">
        <v>79</v>
      </c>
      <c r="I79">
        <v>23749</v>
      </c>
      <c r="J79">
        <v>33313</v>
      </c>
      <c r="K79">
        <v>866138</v>
      </c>
      <c r="L79" t="s">
        <v>37</v>
      </c>
    </row>
    <row r="80" spans="1:12" x14ac:dyDescent="0.35">
      <c r="A80" s="4">
        <v>45761</v>
      </c>
      <c r="B80" t="s">
        <v>25</v>
      </c>
      <c r="C80" t="s">
        <v>15</v>
      </c>
      <c r="D80" t="s">
        <v>18</v>
      </c>
      <c r="E80" t="s">
        <v>24</v>
      </c>
      <c r="F80">
        <v>84</v>
      </c>
      <c r="G80">
        <v>127</v>
      </c>
      <c r="H80">
        <v>72</v>
      </c>
      <c r="I80">
        <v>46263</v>
      </c>
      <c r="J80">
        <v>55339</v>
      </c>
      <c r="K80">
        <v>4648476</v>
      </c>
      <c r="L80" t="s">
        <v>38</v>
      </c>
    </row>
    <row r="81" spans="1:12" x14ac:dyDescent="0.35">
      <c r="A81" s="4">
        <v>45759</v>
      </c>
      <c r="B81" t="s">
        <v>25</v>
      </c>
      <c r="C81" t="s">
        <v>15</v>
      </c>
      <c r="D81" t="s">
        <v>26</v>
      </c>
      <c r="E81" t="s">
        <v>13</v>
      </c>
      <c r="F81">
        <v>73</v>
      </c>
      <c r="G81">
        <v>49</v>
      </c>
      <c r="H81">
        <v>47</v>
      </c>
      <c r="I81">
        <v>40839</v>
      </c>
      <c r="J81">
        <v>46462</v>
      </c>
      <c r="K81">
        <v>3391726</v>
      </c>
      <c r="L81" t="s">
        <v>38</v>
      </c>
    </row>
    <row r="82" spans="1:12" x14ac:dyDescent="0.35">
      <c r="A82" s="4">
        <v>45725</v>
      </c>
      <c r="B82" t="s">
        <v>23</v>
      </c>
      <c r="C82" t="s">
        <v>15</v>
      </c>
      <c r="D82" t="s">
        <v>26</v>
      </c>
      <c r="E82" t="s">
        <v>24</v>
      </c>
      <c r="F82">
        <v>48</v>
      </c>
      <c r="G82">
        <v>96</v>
      </c>
      <c r="H82">
        <v>78</v>
      </c>
      <c r="I82">
        <v>8842</v>
      </c>
      <c r="J82">
        <v>9973</v>
      </c>
      <c r="K82">
        <v>478704</v>
      </c>
      <c r="L82" t="s">
        <v>39</v>
      </c>
    </row>
    <row r="83" spans="1:12" x14ac:dyDescent="0.35">
      <c r="A83" s="4">
        <v>45699</v>
      </c>
      <c r="B83" t="s">
        <v>27</v>
      </c>
      <c r="C83" t="s">
        <v>11</v>
      </c>
      <c r="D83" t="s">
        <v>18</v>
      </c>
      <c r="E83" t="s">
        <v>13</v>
      </c>
      <c r="F83">
        <v>76</v>
      </c>
      <c r="G83">
        <v>121</v>
      </c>
      <c r="H83">
        <v>38</v>
      </c>
      <c r="I83">
        <v>4768</v>
      </c>
      <c r="J83">
        <v>9504</v>
      </c>
      <c r="K83">
        <v>722304</v>
      </c>
      <c r="L83" t="s">
        <v>38</v>
      </c>
    </row>
    <row r="84" spans="1:12" x14ac:dyDescent="0.35">
      <c r="A84" s="4">
        <v>45805</v>
      </c>
      <c r="B84" t="s">
        <v>25</v>
      </c>
      <c r="C84" t="s">
        <v>15</v>
      </c>
      <c r="D84" t="s">
        <v>12</v>
      </c>
      <c r="E84" t="s">
        <v>17</v>
      </c>
      <c r="F84">
        <v>38</v>
      </c>
      <c r="G84">
        <v>143</v>
      </c>
      <c r="H84">
        <v>95</v>
      </c>
      <c r="I84">
        <v>38641</v>
      </c>
      <c r="J84">
        <v>40423</v>
      </c>
      <c r="K84">
        <v>1536074</v>
      </c>
      <c r="L84" t="s">
        <v>37</v>
      </c>
    </row>
    <row r="85" spans="1:12" x14ac:dyDescent="0.35">
      <c r="A85" s="4">
        <v>45811</v>
      </c>
      <c r="B85" t="s">
        <v>19</v>
      </c>
      <c r="C85" t="s">
        <v>15</v>
      </c>
      <c r="D85" t="s">
        <v>18</v>
      </c>
      <c r="E85" t="s">
        <v>13</v>
      </c>
      <c r="F85">
        <v>94</v>
      </c>
      <c r="G85">
        <v>130</v>
      </c>
      <c r="H85">
        <v>95</v>
      </c>
      <c r="I85">
        <v>10876</v>
      </c>
      <c r="J85">
        <v>19249</v>
      </c>
      <c r="K85">
        <v>1809406</v>
      </c>
      <c r="L85" t="s">
        <v>39</v>
      </c>
    </row>
    <row r="86" spans="1:12" x14ac:dyDescent="0.35">
      <c r="A86" s="4">
        <v>45691</v>
      </c>
      <c r="B86" t="s">
        <v>22</v>
      </c>
      <c r="C86" t="s">
        <v>15</v>
      </c>
      <c r="D86" t="s">
        <v>16</v>
      </c>
      <c r="E86" t="s">
        <v>20</v>
      </c>
      <c r="F86">
        <v>19</v>
      </c>
      <c r="G86">
        <v>33</v>
      </c>
      <c r="H86">
        <v>75</v>
      </c>
      <c r="I86">
        <v>15777</v>
      </c>
      <c r="J86">
        <v>18240</v>
      </c>
      <c r="K86">
        <v>346560</v>
      </c>
      <c r="L86" t="s">
        <v>37</v>
      </c>
    </row>
    <row r="87" spans="1:12" x14ac:dyDescent="0.35">
      <c r="A87" s="4">
        <v>45769</v>
      </c>
      <c r="B87" t="s">
        <v>10</v>
      </c>
      <c r="C87" t="s">
        <v>11</v>
      </c>
      <c r="D87" t="s">
        <v>12</v>
      </c>
      <c r="E87" t="s">
        <v>13</v>
      </c>
      <c r="F87">
        <v>21</v>
      </c>
      <c r="G87">
        <v>137</v>
      </c>
      <c r="H87">
        <v>89</v>
      </c>
      <c r="I87">
        <v>29685</v>
      </c>
      <c r="J87">
        <v>34978</v>
      </c>
      <c r="K87">
        <v>734538</v>
      </c>
      <c r="L87" t="s">
        <v>37</v>
      </c>
    </row>
    <row r="88" spans="1:12" x14ac:dyDescent="0.35">
      <c r="A88" s="4">
        <v>45744</v>
      </c>
      <c r="B88" t="s">
        <v>14</v>
      </c>
      <c r="C88" t="s">
        <v>15</v>
      </c>
      <c r="D88" t="s">
        <v>12</v>
      </c>
      <c r="E88" t="s">
        <v>24</v>
      </c>
      <c r="F88">
        <v>27</v>
      </c>
      <c r="G88">
        <v>82</v>
      </c>
      <c r="H88">
        <v>35</v>
      </c>
      <c r="I88">
        <v>4262</v>
      </c>
      <c r="J88">
        <v>11086</v>
      </c>
      <c r="K88">
        <v>299322</v>
      </c>
      <c r="L88" t="s">
        <v>39</v>
      </c>
    </row>
    <row r="89" spans="1:12" x14ac:dyDescent="0.35">
      <c r="A89" s="4">
        <v>45804</v>
      </c>
      <c r="B89" t="s">
        <v>14</v>
      </c>
      <c r="C89" t="s">
        <v>15</v>
      </c>
      <c r="D89" t="s">
        <v>16</v>
      </c>
      <c r="E89" t="s">
        <v>20</v>
      </c>
      <c r="F89">
        <v>50</v>
      </c>
      <c r="G89">
        <v>52</v>
      </c>
      <c r="H89">
        <v>12</v>
      </c>
      <c r="I89">
        <v>35723</v>
      </c>
      <c r="J89">
        <v>43485</v>
      </c>
      <c r="K89">
        <v>2174250</v>
      </c>
      <c r="L89" t="s">
        <v>38</v>
      </c>
    </row>
    <row r="90" spans="1:12" x14ac:dyDescent="0.35">
      <c r="A90" s="4">
        <v>45673</v>
      </c>
      <c r="B90" t="s">
        <v>19</v>
      </c>
      <c r="C90" t="s">
        <v>15</v>
      </c>
      <c r="D90" t="s">
        <v>26</v>
      </c>
      <c r="E90" t="s">
        <v>20</v>
      </c>
      <c r="F90">
        <v>80</v>
      </c>
      <c r="G90">
        <v>114</v>
      </c>
      <c r="H90">
        <v>30</v>
      </c>
      <c r="I90">
        <v>15572</v>
      </c>
      <c r="J90">
        <v>20156</v>
      </c>
      <c r="K90">
        <v>1612480</v>
      </c>
      <c r="L90" t="s">
        <v>38</v>
      </c>
    </row>
    <row r="91" spans="1:12" x14ac:dyDescent="0.35">
      <c r="A91" s="4">
        <v>45777</v>
      </c>
      <c r="B91" t="s">
        <v>27</v>
      </c>
      <c r="C91" t="s">
        <v>11</v>
      </c>
      <c r="D91" t="s">
        <v>12</v>
      </c>
      <c r="E91" t="s">
        <v>24</v>
      </c>
      <c r="F91">
        <v>27</v>
      </c>
      <c r="G91">
        <v>39</v>
      </c>
      <c r="H91">
        <v>16</v>
      </c>
      <c r="I91">
        <v>28097</v>
      </c>
      <c r="J91">
        <v>37674</v>
      </c>
      <c r="K91">
        <v>1017198</v>
      </c>
      <c r="L91" t="s">
        <v>38</v>
      </c>
    </row>
    <row r="92" spans="1:12" x14ac:dyDescent="0.35">
      <c r="A92" s="4">
        <v>45788</v>
      </c>
      <c r="B92" t="s">
        <v>22</v>
      </c>
      <c r="C92" t="s">
        <v>15</v>
      </c>
      <c r="D92" t="s">
        <v>18</v>
      </c>
      <c r="E92" t="s">
        <v>13</v>
      </c>
      <c r="F92">
        <v>52</v>
      </c>
      <c r="G92">
        <v>111</v>
      </c>
      <c r="H92">
        <v>90</v>
      </c>
      <c r="I92">
        <v>19050</v>
      </c>
      <c r="J92">
        <v>28050</v>
      </c>
      <c r="K92">
        <v>1458600</v>
      </c>
      <c r="L92" t="s">
        <v>39</v>
      </c>
    </row>
    <row r="93" spans="1:12" x14ac:dyDescent="0.35">
      <c r="A93" s="4">
        <v>45745</v>
      </c>
      <c r="B93" t="s">
        <v>27</v>
      </c>
      <c r="C93" t="s">
        <v>11</v>
      </c>
      <c r="D93" t="s">
        <v>26</v>
      </c>
      <c r="E93" t="s">
        <v>13</v>
      </c>
      <c r="F93">
        <v>49</v>
      </c>
      <c r="G93">
        <v>52</v>
      </c>
      <c r="H93">
        <v>118</v>
      </c>
      <c r="I93">
        <v>22594</v>
      </c>
      <c r="J93">
        <v>22886</v>
      </c>
      <c r="K93">
        <v>1121414</v>
      </c>
      <c r="L93" t="s">
        <v>37</v>
      </c>
    </row>
    <row r="94" spans="1:12" x14ac:dyDescent="0.35">
      <c r="A94" s="4">
        <v>45816</v>
      </c>
      <c r="B94" t="s">
        <v>10</v>
      </c>
      <c r="C94" t="s">
        <v>11</v>
      </c>
      <c r="D94" t="s">
        <v>12</v>
      </c>
      <c r="E94" t="s">
        <v>13</v>
      </c>
      <c r="F94">
        <v>30</v>
      </c>
      <c r="G94">
        <v>61</v>
      </c>
      <c r="H94">
        <v>49</v>
      </c>
      <c r="I94">
        <v>1266</v>
      </c>
      <c r="J94">
        <v>4799</v>
      </c>
      <c r="K94">
        <v>143970</v>
      </c>
      <c r="L94" t="s">
        <v>39</v>
      </c>
    </row>
    <row r="95" spans="1:12" x14ac:dyDescent="0.35">
      <c r="A95" s="4">
        <v>45748</v>
      </c>
      <c r="B95" t="s">
        <v>23</v>
      </c>
      <c r="C95" t="s">
        <v>15</v>
      </c>
      <c r="D95" t="s">
        <v>16</v>
      </c>
      <c r="E95" t="s">
        <v>13</v>
      </c>
      <c r="F95">
        <v>30</v>
      </c>
      <c r="G95">
        <v>21</v>
      </c>
      <c r="H95">
        <v>96</v>
      </c>
      <c r="I95">
        <v>31634</v>
      </c>
      <c r="J95">
        <v>33680</v>
      </c>
      <c r="K95">
        <v>1010400</v>
      </c>
      <c r="L95" t="s">
        <v>37</v>
      </c>
    </row>
    <row r="96" spans="1:12" x14ac:dyDescent="0.35">
      <c r="A96" s="4">
        <v>45666</v>
      </c>
      <c r="B96" t="s">
        <v>19</v>
      </c>
      <c r="C96" t="s">
        <v>15</v>
      </c>
      <c r="D96" t="s">
        <v>18</v>
      </c>
      <c r="E96" t="s">
        <v>13</v>
      </c>
      <c r="F96">
        <v>41</v>
      </c>
      <c r="G96">
        <v>45</v>
      </c>
      <c r="H96">
        <v>37</v>
      </c>
      <c r="I96">
        <v>11898</v>
      </c>
      <c r="J96">
        <v>19720</v>
      </c>
      <c r="K96">
        <v>808520</v>
      </c>
      <c r="L96" t="s">
        <v>38</v>
      </c>
    </row>
    <row r="97" spans="1:12" x14ac:dyDescent="0.35">
      <c r="A97" s="4">
        <v>45695</v>
      </c>
      <c r="B97" t="s">
        <v>25</v>
      </c>
      <c r="C97" t="s">
        <v>15</v>
      </c>
      <c r="D97" t="s">
        <v>16</v>
      </c>
      <c r="E97" t="s">
        <v>24</v>
      </c>
      <c r="F97">
        <v>66</v>
      </c>
      <c r="G97">
        <v>139</v>
      </c>
      <c r="H97">
        <v>89</v>
      </c>
      <c r="I97">
        <v>27384</v>
      </c>
      <c r="J97">
        <v>28550</v>
      </c>
      <c r="K97">
        <v>1884300</v>
      </c>
      <c r="L97" t="s">
        <v>39</v>
      </c>
    </row>
    <row r="98" spans="1:12" x14ac:dyDescent="0.35">
      <c r="A98" s="4">
        <v>45783</v>
      </c>
      <c r="B98" t="s">
        <v>27</v>
      </c>
      <c r="C98" t="s">
        <v>11</v>
      </c>
      <c r="D98" t="s">
        <v>18</v>
      </c>
      <c r="E98" t="s">
        <v>17</v>
      </c>
      <c r="F98">
        <v>70</v>
      </c>
      <c r="G98">
        <v>23</v>
      </c>
      <c r="H98">
        <v>91</v>
      </c>
      <c r="I98">
        <v>28059</v>
      </c>
      <c r="J98">
        <v>31154</v>
      </c>
      <c r="K98">
        <v>2180780</v>
      </c>
      <c r="L98" t="s">
        <v>39</v>
      </c>
    </row>
    <row r="99" spans="1:12" x14ac:dyDescent="0.35">
      <c r="A99" s="4">
        <v>45794</v>
      </c>
      <c r="B99" t="s">
        <v>19</v>
      </c>
      <c r="C99" t="s">
        <v>15</v>
      </c>
      <c r="D99" t="s">
        <v>12</v>
      </c>
      <c r="E99" t="s">
        <v>17</v>
      </c>
      <c r="F99">
        <v>63</v>
      </c>
      <c r="G99">
        <v>76</v>
      </c>
      <c r="H99">
        <v>34</v>
      </c>
      <c r="I99">
        <v>37185</v>
      </c>
      <c r="J99">
        <v>43889</v>
      </c>
      <c r="K99">
        <v>2765007</v>
      </c>
      <c r="L99" t="s">
        <v>38</v>
      </c>
    </row>
    <row r="100" spans="1:12" x14ac:dyDescent="0.35">
      <c r="A100" s="4">
        <v>45740</v>
      </c>
      <c r="B100" t="s">
        <v>27</v>
      </c>
      <c r="C100" t="s">
        <v>11</v>
      </c>
      <c r="D100" t="s">
        <v>18</v>
      </c>
      <c r="E100" t="s">
        <v>20</v>
      </c>
      <c r="F100">
        <v>15</v>
      </c>
      <c r="G100">
        <v>81</v>
      </c>
      <c r="H100">
        <v>1</v>
      </c>
      <c r="I100">
        <v>31526</v>
      </c>
      <c r="J100">
        <v>36794</v>
      </c>
      <c r="K100">
        <v>551910</v>
      </c>
      <c r="L100" t="s">
        <v>38</v>
      </c>
    </row>
    <row r="101" spans="1:12" x14ac:dyDescent="0.35">
      <c r="A101" s="4">
        <v>45760</v>
      </c>
      <c r="B101" t="s">
        <v>25</v>
      </c>
      <c r="C101" t="s">
        <v>15</v>
      </c>
      <c r="D101" t="s">
        <v>12</v>
      </c>
      <c r="E101" t="s">
        <v>24</v>
      </c>
      <c r="F101">
        <v>92</v>
      </c>
      <c r="G101">
        <v>46</v>
      </c>
      <c r="H101">
        <v>112</v>
      </c>
      <c r="I101">
        <v>40241</v>
      </c>
      <c r="J101">
        <v>40889</v>
      </c>
      <c r="K101">
        <v>3761788</v>
      </c>
      <c r="L101" t="s">
        <v>39</v>
      </c>
    </row>
    <row r="102" spans="1:12" x14ac:dyDescent="0.35">
      <c r="A102" s="4">
        <v>45709</v>
      </c>
      <c r="B102" t="s">
        <v>10</v>
      </c>
      <c r="C102" t="s">
        <v>11</v>
      </c>
      <c r="D102" t="s">
        <v>12</v>
      </c>
      <c r="E102" t="s">
        <v>24</v>
      </c>
      <c r="F102">
        <v>24</v>
      </c>
      <c r="G102">
        <v>76</v>
      </c>
      <c r="H102">
        <v>9</v>
      </c>
      <c r="I102">
        <v>9743</v>
      </c>
      <c r="J102">
        <v>11787</v>
      </c>
      <c r="K102">
        <v>282888</v>
      </c>
      <c r="L102" t="s">
        <v>38</v>
      </c>
    </row>
    <row r="103" spans="1:12" x14ac:dyDescent="0.35">
      <c r="A103" s="4">
        <v>45690</v>
      </c>
      <c r="B103" t="s">
        <v>23</v>
      </c>
      <c r="C103" t="s">
        <v>15</v>
      </c>
      <c r="D103" t="s">
        <v>12</v>
      </c>
      <c r="E103" t="s">
        <v>20</v>
      </c>
      <c r="F103">
        <v>30</v>
      </c>
      <c r="G103">
        <v>124</v>
      </c>
      <c r="H103">
        <v>52</v>
      </c>
      <c r="I103">
        <v>39542</v>
      </c>
      <c r="J103">
        <v>45475</v>
      </c>
      <c r="K103">
        <v>1364250</v>
      </c>
      <c r="L103" t="s">
        <v>39</v>
      </c>
    </row>
    <row r="104" spans="1:12" x14ac:dyDescent="0.35">
      <c r="A104" s="4">
        <v>45682</v>
      </c>
      <c r="B104" t="s">
        <v>25</v>
      </c>
      <c r="C104" t="s">
        <v>15</v>
      </c>
      <c r="D104" t="s">
        <v>18</v>
      </c>
      <c r="E104" t="s">
        <v>17</v>
      </c>
      <c r="F104">
        <v>14</v>
      </c>
      <c r="G104">
        <v>93</v>
      </c>
      <c r="H104">
        <v>84</v>
      </c>
      <c r="I104">
        <v>5896</v>
      </c>
      <c r="J104">
        <v>12810</v>
      </c>
      <c r="K104">
        <v>179340</v>
      </c>
      <c r="L104" t="s">
        <v>37</v>
      </c>
    </row>
    <row r="105" spans="1:12" x14ac:dyDescent="0.35">
      <c r="A105" s="4">
        <v>45763</v>
      </c>
      <c r="B105" t="s">
        <v>10</v>
      </c>
      <c r="C105" t="s">
        <v>11</v>
      </c>
      <c r="D105" t="s">
        <v>16</v>
      </c>
      <c r="E105" t="s">
        <v>13</v>
      </c>
      <c r="F105">
        <v>90</v>
      </c>
      <c r="G105">
        <v>35</v>
      </c>
      <c r="H105">
        <v>102</v>
      </c>
      <c r="I105">
        <v>36234</v>
      </c>
      <c r="J105">
        <v>38903</v>
      </c>
      <c r="K105">
        <v>3501270</v>
      </c>
      <c r="L105" t="s">
        <v>39</v>
      </c>
    </row>
    <row r="106" spans="1:12" x14ac:dyDescent="0.35">
      <c r="A106" s="4">
        <v>45692</v>
      </c>
      <c r="B106" t="s">
        <v>25</v>
      </c>
      <c r="C106" t="s">
        <v>15</v>
      </c>
      <c r="D106" t="s">
        <v>12</v>
      </c>
      <c r="E106" t="s">
        <v>13</v>
      </c>
      <c r="F106">
        <v>52</v>
      </c>
      <c r="G106">
        <v>130</v>
      </c>
      <c r="H106">
        <v>77</v>
      </c>
      <c r="I106">
        <v>20705</v>
      </c>
      <c r="J106">
        <v>25366</v>
      </c>
      <c r="K106">
        <v>1319032</v>
      </c>
      <c r="L106" t="s">
        <v>39</v>
      </c>
    </row>
    <row r="107" spans="1:12" x14ac:dyDescent="0.35">
      <c r="A107" s="4">
        <v>45713</v>
      </c>
      <c r="B107" t="s">
        <v>25</v>
      </c>
      <c r="C107" t="s">
        <v>15</v>
      </c>
      <c r="D107" t="s">
        <v>16</v>
      </c>
      <c r="E107" t="s">
        <v>20</v>
      </c>
      <c r="F107">
        <v>30</v>
      </c>
      <c r="G107">
        <v>24</v>
      </c>
      <c r="H107">
        <v>62</v>
      </c>
      <c r="I107">
        <v>35664</v>
      </c>
      <c r="J107">
        <v>42452</v>
      </c>
      <c r="K107">
        <v>1273560</v>
      </c>
      <c r="L107" t="s">
        <v>37</v>
      </c>
    </row>
    <row r="108" spans="1:12" x14ac:dyDescent="0.35">
      <c r="A108" s="4">
        <v>45806</v>
      </c>
      <c r="B108" t="s">
        <v>27</v>
      </c>
      <c r="C108" t="s">
        <v>11</v>
      </c>
      <c r="D108" t="s">
        <v>12</v>
      </c>
      <c r="E108" t="s">
        <v>17</v>
      </c>
      <c r="F108">
        <v>18</v>
      </c>
      <c r="G108">
        <v>77</v>
      </c>
      <c r="H108">
        <v>58</v>
      </c>
      <c r="I108">
        <v>29630</v>
      </c>
      <c r="J108">
        <v>36385</v>
      </c>
      <c r="K108">
        <v>654930</v>
      </c>
      <c r="L108" t="s">
        <v>37</v>
      </c>
    </row>
    <row r="109" spans="1:12" x14ac:dyDescent="0.35">
      <c r="A109" s="4">
        <v>45775</v>
      </c>
      <c r="B109" t="s">
        <v>27</v>
      </c>
      <c r="C109" t="s">
        <v>11</v>
      </c>
      <c r="D109" t="s">
        <v>18</v>
      </c>
      <c r="E109" t="s">
        <v>24</v>
      </c>
      <c r="F109">
        <v>88</v>
      </c>
      <c r="G109">
        <v>88</v>
      </c>
      <c r="H109">
        <v>10</v>
      </c>
      <c r="I109">
        <v>22294</v>
      </c>
      <c r="J109">
        <v>23812</v>
      </c>
      <c r="K109">
        <v>2095456</v>
      </c>
      <c r="L109" t="s">
        <v>38</v>
      </c>
    </row>
    <row r="110" spans="1:12" x14ac:dyDescent="0.35">
      <c r="A110" s="4">
        <v>45690</v>
      </c>
      <c r="B110" t="s">
        <v>10</v>
      </c>
      <c r="C110" t="s">
        <v>11</v>
      </c>
      <c r="D110" t="s">
        <v>26</v>
      </c>
      <c r="E110" t="s">
        <v>17</v>
      </c>
      <c r="F110">
        <v>26</v>
      </c>
      <c r="G110">
        <v>47</v>
      </c>
      <c r="H110">
        <v>115</v>
      </c>
      <c r="I110">
        <v>16377</v>
      </c>
      <c r="J110">
        <v>17840</v>
      </c>
      <c r="K110">
        <v>463840</v>
      </c>
      <c r="L110" t="s">
        <v>37</v>
      </c>
    </row>
    <row r="111" spans="1:12" x14ac:dyDescent="0.35">
      <c r="A111" s="4">
        <v>45789</v>
      </c>
      <c r="B111" t="s">
        <v>10</v>
      </c>
      <c r="C111" t="s">
        <v>11</v>
      </c>
      <c r="D111" t="s">
        <v>16</v>
      </c>
      <c r="E111" t="s">
        <v>24</v>
      </c>
      <c r="F111">
        <v>50</v>
      </c>
      <c r="G111">
        <v>96</v>
      </c>
      <c r="H111">
        <v>115</v>
      </c>
      <c r="I111">
        <v>1683</v>
      </c>
      <c r="J111">
        <v>7658</v>
      </c>
      <c r="K111">
        <v>382900</v>
      </c>
      <c r="L111" t="s">
        <v>37</v>
      </c>
    </row>
    <row r="112" spans="1:12" x14ac:dyDescent="0.35">
      <c r="A112" s="4">
        <v>45758</v>
      </c>
      <c r="B112" t="s">
        <v>23</v>
      </c>
      <c r="C112" t="s">
        <v>15</v>
      </c>
      <c r="D112" t="s">
        <v>18</v>
      </c>
      <c r="E112" t="s">
        <v>13</v>
      </c>
      <c r="F112">
        <v>71</v>
      </c>
      <c r="G112">
        <v>104</v>
      </c>
      <c r="H112">
        <v>16</v>
      </c>
      <c r="I112">
        <v>46615</v>
      </c>
      <c r="J112">
        <v>49557</v>
      </c>
      <c r="K112">
        <v>3518547</v>
      </c>
      <c r="L112" t="s">
        <v>38</v>
      </c>
    </row>
    <row r="113" spans="1:12" x14ac:dyDescent="0.35">
      <c r="A113" s="4">
        <v>45769</v>
      </c>
      <c r="B113" t="s">
        <v>22</v>
      </c>
      <c r="C113" t="s">
        <v>15</v>
      </c>
      <c r="D113" t="s">
        <v>12</v>
      </c>
      <c r="E113" t="s">
        <v>20</v>
      </c>
      <c r="F113">
        <v>11</v>
      </c>
      <c r="G113">
        <v>112</v>
      </c>
      <c r="H113">
        <v>98</v>
      </c>
      <c r="I113">
        <v>7515</v>
      </c>
      <c r="J113">
        <v>10193</v>
      </c>
      <c r="K113">
        <v>112123</v>
      </c>
      <c r="L113" t="s">
        <v>37</v>
      </c>
    </row>
    <row r="114" spans="1:12" x14ac:dyDescent="0.35">
      <c r="A114" s="4">
        <v>45783</v>
      </c>
      <c r="B114" t="s">
        <v>23</v>
      </c>
      <c r="C114" t="s">
        <v>15</v>
      </c>
      <c r="D114" t="s">
        <v>18</v>
      </c>
      <c r="E114" t="s">
        <v>20</v>
      </c>
      <c r="F114">
        <v>7</v>
      </c>
      <c r="G114">
        <v>26</v>
      </c>
      <c r="H114">
        <v>16</v>
      </c>
      <c r="I114">
        <v>38009</v>
      </c>
      <c r="J114">
        <v>44859</v>
      </c>
      <c r="K114">
        <v>314013</v>
      </c>
      <c r="L114" t="s">
        <v>37</v>
      </c>
    </row>
    <row r="115" spans="1:12" x14ac:dyDescent="0.35">
      <c r="A115" s="4">
        <v>45669</v>
      </c>
      <c r="B115" t="s">
        <v>14</v>
      </c>
      <c r="C115" t="s">
        <v>15</v>
      </c>
      <c r="D115" t="s">
        <v>18</v>
      </c>
      <c r="E115" t="s">
        <v>24</v>
      </c>
      <c r="F115">
        <v>74</v>
      </c>
      <c r="G115">
        <v>115</v>
      </c>
      <c r="H115">
        <v>105</v>
      </c>
      <c r="I115">
        <v>4147</v>
      </c>
      <c r="J115">
        <v>12215</v>
      </c>
      <c r="K115">
        <v>903910</v>
      </c>
      <c r="L115" t="s">
        <v>39</v>
      </c>
    </row>
    <row r="116" spans="1:12" x14ac:dyDescent="0.35">
      <c r="A116" s="4">
        <v>45749</v>
      </c>
      <c r="B116" t="s">
        <v>23</v>
      </c>
      <c r="C116" t="s">
        <v>15</v>
      </c>
      <c r="D116" t="s">
        <v>18</v>
      </c>
      <c r="E116" t="s">
        <v>17</v>
      </c>
      <c r="F116">
        <v>26</v>
      </c>
      <c r="G116">
        <v>126</v>
      </c>
      <c r="H116">
        <v>29</v>
      </c>
      <c r="I116">
        <v>11642</v>
      </c>
      <c r="J116">
        <v>17613</v>
      </c>
      <c r="K116">
        <v>457938</v>
      </c>
      <c r="L116" t="s">
        <v>39</v>
      </c>
    </row>
    <row r="117" spans="1:12" x14ac:dyDescent="0.35">
      <c r="A117" s="4">
        <v>45728</v>
      </c>
      <c r="B117" t="s">
        <v>22</v>
      </c>
      <c r="C117" t="s">
        <v>15</v>
      </c>
      <c r="D117" t="s">
        <v>16</v>
      </c>
      <c r="E117" t="s">
        <v>13</v>
      </c>
      <c r="F117">
        <v>56</v>
      </c>
      <c r="G117">
        <v>61</v>
      </c>
      <c r="H117">
        <v>50</v>
      </c>
      <c r="I117">
        <v>11584</v>
      </c>
      <c r="J117">
        <v>12371</v>
      </c>
      <c r="K117">
        <v>692776</v>
      </c>
      <c r="L117" t="s">
        <v>38</v>
      </c>
    </row>
    <row r="118" spans="1:12" x14ac:dyDescent="0.35">
      <c r="A118" s="4">
        <v>45735</v>
      </c>
      <c r="B118" t="s">
        <v>25</v>
      </c>
      <c r="C118" t="s">
        <v>15</v>
      </c>
      <c r="D118" t="s">
        <v>12</v>
      </c>
      <c r="E118" t="s">
        <v>13</v>
      </c>
      <c r="F118">
        <v>65</v>
      </c>
      <c r="G118">
        <v>141</v>
      </c>
      <c r="H118">
        <v>7</v>
      </c>
      <c r="I118">
        <v>36502</v>
      </c>
      <c r="J118">
        <v>42180</v>
      </c>
      <c r="K118">
        <v>2741700</v>
      </c>
      <c r="L118" t="s">
        <v>38</v>
      </c>
    </row>
    <row r="119" spans="1:12" x14ac:dyDescent="0.35">
      <c r="A119" s="4">
        <v>45783</v>
      </c>
      <c r="B119" t="s">
        <v>10</v>
      </c>
      <c r="C119" t="s">
        <v>11</v>
      </c>
      <c r="D119" t="s">
        <v>18</v>
      </c>
      <c r="E119" t="s">
        <v>20</v>
      </c>
      <c r="F119">
        <v>45</v>
      </c>
      <c r="G119">
        <v>80</v>
      </c>
      <c r="H119">
        <v>72</v>
      </c>
      <c r="I119">
        <v>27139</v>
      </c>
      <c r="J119">
        <v>31563</v>
      </c>
      <c r="K119">
        <v>1420335</v>
      </c>
      <c r="L119" t="s">
        <v>39</v>
      </c>
    </row>
    <row r="120" spans="1:12" x14ac:dyDescent="0.35">
      <c r="A120" s="4">
        <v>45714</v>
      </c>
      <c r="B120" t="s">
        <v>25</v>
      </c>
      <c r="C120" t="s">
        <v>15</v>
      </c>
      <c r="D120" t="s">
        <v>26</v>
      </c>
      <c r="E120" t="s">
        <v>13</v>
      </c>
      <c r="F120">
        <v>21</v>
      </c>
      <c r="G120">
        <v>149</v>
      </c>
      <c r="H120">
        <v>57</v>
      </c>
      <c r="I120">
        <v>30826</v>
      </c>
      <c r="J120">
        <v>36158</v>
      </c>
      <c r="K120">
        <v>759318</v>
      </c>
      <c r="L120" t="s">
        <v>37</v>
      </c>
    </row>
    <row r="121" spans="1:12" x14ac:dyDescent="0.35">
      <c r="A121" s="4">
        <v>45730</v>
      </c>
      <c r="B121" t="s">
        <v>21</v>
      </c>
      <c r="C121" t="s">
        <v>15</v>
      </c>
      <c r="D121" t="s">
        <v>18</v>
      </c>
      <c r="E121" t="s">
        <v>17</v>
      </c>
      <c r="F121">
        <v>75</v>
      </c>
      <c r="G121">
        <v>115</v>
      </c>
      <c r="H121">
        <v>75</v>
      </c>
      <c r="I121">
        <v>31005</v>
      </c>
      <c r="J121">
        <v>35598</v>
      </c>
      <c r="K121">
        <v>2669850</v>
      </c>
      <c r="L121" t="s">
        <v>39</v>
      </c>
    </row>
    <row r="122" spans="1:12" x14ac:dyDescent="0.35">
      <c r="A122" s="4">
        <v>45758</v>
      </c>
      <c r="B122" t="s">
        <v>22</v>
      </c>
      <c r="C122" t="s">
        <v>15</v>
      </c>
      <c r="D122" t="s">
        <v>26</v>
      </c>
      <c r="E122" t="s">
        <v>20</v>
      </c>
      <c r="F122">
        <v>67</v>
      </c>
      <c r="G122">
        <v>58</v>
      </c>
      <c r="H122">
        <v>15</v>
      </c>
      <c r="I122">
        <v>11863</v>
      </c>
      <c r="J122">
        <v>15255</v>
      </c>
      <c r="K122">
        <v>1022085</v>
      </c>
      <c r="L122" t="s">
        <v>38</v>
      </c>
    </row>
    <row r="123" spans="1:12" x14ac:dyDescent="0.35">
      <c r="A123" s="4">
        <v>45664</v>
      </c>
      <c r="B123" t="s">
        <v>27</v>
      </c>
      <c r="C123" t="s">
        <v>11</v>
      </c>
      <c r="D123" t="s">
        <v>12</v>
      </c>
      <c r="E123" t="s">
        <v>24</v>
      </c>
      <c r="F123">
        <v>43</v>
      </c>
      <c r="G123">
        <v>119</v>
      </c>
      <c r="H123">
        <v>88</v>
      </c>
      <c r="I123">
        <v>30863</v>
      </c>
      <c r="J123">
        <v>34760</v>
      </c>
      <c r="K123">
        <v>1494680</v>
      </c>
      <c r="L123" t="s">
        <v>37</v>
      </c>
    </row>
    <row r="124" spans="1:12" x14ac:dyDescent="0.35">
      <c r="A124" s="4">
        <v>45709</v>
      </c>
      <c r="B124" t="s">
        <v>22</v>
      </c>
      <c r="C124" t="s">
        <v>15</v>
      </c>
      <c r="D124" t="s">
        <v>12</v>
      </c>
      <c r="E124" t="s">
        <v>24</v>
      </c>
      <c r="F124">
        <v>32</v>
      </c>
      <c r="G124">
        <v>141</v>
      </c>
      <c r="H124">
        <v>8</v>
      </c>
      <c r="I124">
        <v>43537</v>
      </c>
      <c r="J124">
        <v>44330</v>
      </c>
      <c r="K124">
        <v>1418560</v>
      </c>
      <c r="L124" t="s">
        <v>38</v>
      </c>
    </row>
    <row r="125" spans="1:12" x14ac:dyDescent="0.35">
      <c r="A125" s="4">
        <v>45777</v>
      </c>
      <c r="B125" t="s">
        <v>21</v>
      </c>
      <c r="C125" t="s">
        <v>15</v>
      </c>
      <c r="D125" t="s">
        <v>12</v>
      </c>
      <c r="E125" t="s">
        <v>24</v>
      </c>
      <c r="F125">
        <v>90</v>
      </c>
      <c r="G125">
        <v>76</v>
      </c>
      <c r="H125">
        <v>114</v>
      </c>
      <c r="I125">
        <v>33865</v>
      </c>
      <c r="J125">
        <v>40414</v>
      </c>
      <c r="K125">
        <v>3637260</v>
      </c>
      <c r="L125" t="s">
        <v>39</v>
      </c>
    </row>
    <row r="126" spans="1:12" x14ac:dyDescent="0.35">
      <c r="A126" s="4">
        <v>45734</v>
      </c>
      <c r="B126" t="s">
        <v>10</v>
      </c>
      <c r="C126" t="s">
        <v>11</v>
      </c>
      <c r="D126" t="s">
        <v>26</v>
      </c>
      <c r="E126" t="s">
        <v>13</v>
      </c>
      <c r="F126">
        <v>92</v>
      </c>
      <c r="G126">
        <v>50</v>
      </c>
      <c r="H126">
        <v>57</v>
      </c>
      <c r="I126">
        <v>34939</v>
      </c>
      <c r="J126">
        <v>39177</v>
      </c>
      <c r="K126">
        <v>3604284</v>
      </c>
      <c r="L126" t="s">
        <v>38</v>
      </c>
    </row>
    <row r="127" spans="1:12" x14ac:dyDescent="0.35">
      <c r="A127" s="4">
        <v>45816</v>
      </c>
      <c r="B127" t="s">
        <v>25</v>
      </c>
      <c r="C127" t="s">
        <v>15</v>
      </c>
      <c r="D127" t="s">
        <v>26</v>
      </c>
      <c r="E127" t="s">
        <v>20</v>
      </c>
      <c r="F127">
        <v>91</v>
      </c>
      <c r="G127">
        <v>101</v>
      </c>
      <c r="H127">
        <v>68</v>
      </c>
      <c r="I127">
        <v>13997</v>
      </c>
      <c r="J127">
        <v>16580</v>
      </c>
      <c r="K127">
        <v>1508780</v>
      </c>
      <c r="L127" t="s">
        <v>38</v>
      </c>
    </row>
    <row r="128" spans="1:12" x14ac:dyDescent="0.35">
      <c r="A128" s="4">
        <v>45811</v>
      </c>
      <c r="B128" t="s">
        <v>22</v>
      </c>
      <c r="C128" t="s">
        <v>15</v>
      </c>
      <c r="D128" t="s">
        <v>12</v>
      </c>
      <c r="E128" t="s">
        <v>17</v>
      </c>
      <c r="F128">
        <v>74</v>
      </c>
      <c r="G128">
        <v>121</v>
      </c>
      <c r="H128">
        <v>2</v>
      </c>
      <c r="I128">
        <v>7042</v>
      </c>
      <c r="J128">
        <v>11924</v>
      </c>
      <c r="K128">
        <v>882376</v>
      </c>
      <c r="L128" t="s">
        <v>38</v>
      </c>
    </row>
    <row r="129" spans="1:12" x14ac:dyDescent="0.35">
      <c r="A129" s="4">
        <v>45733</v>
      </c>
      <c r="B129" t="s">
        <v>14</v>
      </c>
      <c r="C129" t="s">
        <v>15</v>
      </c>
      <c r="D129" t="s">
        <v>12</v>
      </c>
      <c r="E129" t="s">
        <v>20</v>
      </c>
      <c r="F129">
        <v>46</v>
      </c>
      <c r="G129">
        <v>119</v>
      </c>
      <c r="H129">
        <v>78</v>
      </c>
      <c r="I129">
        <v>16097</v>
      </c>
      <c r="J129">
        <v>20918</v>
      </c>
      <c r="K129">
        <v>962228</v>
      </c>
      <c r="L129" t="s">
        <v>39</v>
      </c>
    </row>
    <row r="130" spans="1:12" x14ac:dyDescent="0.35">
      <c r="A130" s="4">
        <v>45764</v>
      </c>
      <c r="B130" t="s">
        <v>19</v>
      </c>
      <c r="C130" t="s">
        <v>15</v>
      </c>
      <c r="D130" t="s">
        <v>18</v>
      </c>
      <c r="E130" t="s">
        <v>13</v>
      </c>
      <c r="F130">
        <v>48</v>
      </c>
      <c r="G130">
        <v>53</v>
      </c>
      <c r="H130">
        <v>80</v>
      </c>
      <c r="I130">
        <v>24288</v>
      </c>
      <c r="J130">
        <v>31341</v>
      </c>
      <c r="K130">
        <v>1504368</v>
      </c>
      <c r="L130" t="s">
        <v>39</v>
      </c>
    </row>
    <row r="131" spans="1:12" x14ac:dyDescent="0.35">
      <c r="A131" s="4">
        <v>45819</v>
      </c>
      <c r="B131" t="s">
        <v>23</v>
      </c>
      <c r="C131" t="s">
        <v>15</v>
      </c>
      <c r="D131" t="s">
        <v>16</v>
      </c>
      <c r="E131" t="s">
        <v>20</v>
      </c>
      <c r="F131">
        <v>48</v>
      </c>
      <c r="G131">
        <v>31</v>
      </c>
      <c r="H131">
        <v>19</v>
      </c>
      <c r="I131">
        <v>32652</v>
      </c>
      <c r="J131">
        <v>39666</v>
      </c>
      <c r="K131">
        <v>1903968</v>
      </c>
      <c r="L131" t="s">
        <v>38</v>
      </c>
    </row>
    <row r="132" spans="1:12" x14ac:dyDescent="0.35">
      <c r="A132" s="4">
        <v>45809</v>
      </c>
      <c r="B132" t="s">
        <v>21</v>
      </c>
      <c r="C132" t="s">
        <v>15</v>
      </c>
      <c r="D132" t="s">
        <v>18</v>
      </c>
      <c r="E132" t="s">
        <v>24</v>
      </c>
      <c r="F132">
        <v>88</v>
      </c>
      <c r="G132">
        <v>56</v>
      </c>
      <c r="H132">
        <v>105</v>
      </c>
      <c r="I132">
        <v>7863</v>
      </c>
      <c r="J132">
        <v>12139</v>
      </c>
      <c r="K132">
        <v>1068232</v>
      </c>
      <c r="L132" t="s">
        <v>39</v>
      </c>
    </row>
    <row r="133" spans="1:12" x14ac:dyDescent="0.35">
      <c r="A133" s="4">
        <v>45828</v>
      </c>
      <c r="B133" t="s">
        <v>22</v>
      </c>
      <c r="C133" t="s">
        <v>15</v>
      </c>
      <c r="D133" t="s">
        <v>26</v>
      </c>
      <c r="E133" t="s">
        <v>24</v>
      </c>
      <c r="F133">
        <v>51</v>
      </c>
      <c r="G133">
        <v>101</v>
      </c>
      <c r="H133">
        <v>41</v>
      </c>
      <c r="I133">
        <v>13410</v>
      </c>
      <c r="J133">
        <v>20371</v>
      </c>
      <c r="K133">
        <v>1038921</v>
      </c>
      <c r="L133" t="s">
        <v>38</v>
      </c>
    </row>
    <row r="134" spans="1:12" x14ac:dyDescent="0.35">
      <c r="A134" s="4">
        <v>45715</v>
      </c>
      <c r="B134" t="s">
        <v>25</v>
      </c>
      <c r="C134" t="s">
        <v>15</v>
      </c>
      <c r="D134" t="s">
        <v>16</v>
      </c>
      <c r="E134" t="s">
        <v>20</v>
      </c>
      <c r="F134">
        <v>77</v>
      </c>
      <c r="G134">
        <v>22</v>
      </c>
      <c r="H134">
        <v>57</v>
      </c>
      <c r="I134">
        <v>41520</v>
      </c>
      <c r="J134">
        <v>49459</v>
      </c>
      <c r="K134">
        <v>3808343</v>
      </c>
      <c r="L134" t="s">
        <v>38</v>
      </c>
    </row>
    <row r="135" spans="1:12" x14ac:dyDescent="0.35">
      <c r="A135" s="4">
        <v>45763</v>
      </c>
      <c r="B135" t="s">
        <v>19</v>
      </c>
      <c r="C135" t="s">
        <v>15</v>
      </c>
      <c r="D135" t="s">
        <v>16</v>
      </c>
      <c r="E135" t="s">
        <v>17</v>
      </c>
      <c r="F135">
        <v>73</v>
      </c>
      <c r="G135">
        <v>143</v>
      </c>
      <c r="H135">
        <v>5</v>
      </c>
      <c r="I135">
        <v>36036</v>
      </c>
      <c r="J135">
        <v>39166</v>
      </c>
      <c r="K135">
        <v>2859118</v>
      </c>
      <c r="L135" t="s">
        <v>38</v>
      </c>
    </row>
    <row r="136" spans="1:12" x14ac:dyDescent="0.35">
      <c r="A136" s="4">
        <v>45806</v>
      </c>
      <c r="B136" t="s">
        <v>25</v>
      </c>
      <c r="C136" t="s">
        <v>15</v>
      </c>
      <c r="D136" t="s">
        <v>16</v>
      </c>
      <c r="E136" t="s">
        <v>17</v>
      </c>
      <c r="F136">
        <v>83</v>
      </c>
      <c r="G136">
        <v>35</v>
      </c>
      <c r="H136">
        <v>68</v>
      </c>
      <c r="I136">
        <v>746</v>
      </c>
      <c r="J136">
        <v>8545</v>
      </c>
      <c r="K136">
        <v>709235</v>
      </c>
      <c r="L136" t="s">
        <v>38</v>
      </c>
    </row>
    <row r="137" spans="1:12" x14ac:dyDescent="0.35">
      <c r="A137" s="4">
        <v>45779</v>
      </c>
      <c r="B137" t="s">
        <v>14</v>
      </c>
      <c r="C137" t="s">
        <v>15</v>
      </c>
      <c r="D137" t="s">
        <v>18</v>
      </c>
      <c r="E137" t="s">
        <v>13</v>
      </c>
      <c r="F137">
        <v>9</v>
      </c>
      <c r="G137">
        <v>81</v>
      </c>
      <c r="H137">
        <v>100</v>
      </c>
      <c r="I137">
        <v>7879</v>
      </c>
      <c r="J137">
        <v>14704</v>
      </c>
      <c r="K137">
        <v>132336</v>
      </c>
      <c r="L137" t="s">
        <v>37</v>
      </c>
    </row>
    <row r="138" spans="1:12" x14ac:dyDescent="0.35">
      <c r="A138" s="4">
        <v>45792</v>
      </c>
      <c r="B138" t="s">
        <v>25</v>
      </c>
      <c r="C138" t="s">
        <v>15</v>
      </c>
      <c r="D138" t="s">
        <v>18</v>
      </c>
      <c r="E138" t="s">
        <v>17</v>
      </c>
      <c r="F138">
        <v>76</v>
      </c>
      <c r="G138">
        <v>115</v>
      </c>
      <c r="H138">
        <v>80</v>
      </c>
      <c r="I138">
        <v>3180</v>
      </c>
      <c r="J138">
        <v>9945</v>
      </c>
      <c r="K138">
        <v>755820</v>
      </c>
      <c r="L138" t="s">
        <v>39</v>
      </c>
    </row>
    <row r="139" spans="1:12" x14ac:dyDescent="0.35">
      <c r="A139" s="4">
        <v>45693</v>
      </c>
      <c r="B139" t="s">
        <v>27</v>
      </c>
      <c r="C139" t="s">
        <v>11</v>
      </c>
      <c r="D139" t="s">
        <v>16</v>
      </c>
      <c r="E139" t="s">
        <v>17</v>
      </c>
      <c r="F139">
        <v>89</v>
      </c>
      <c r="G139">
        <v>56</v>
      </c>
      <c r="H139">
        <v>115</v>
      </c>
      <c r="I139">
        <v>35921</v>
      </c>
      <c r="J139">
        <v>41871</v>
      </c>
      <c r="K139">
        <v>3726519</v>
      </c>
      <c r="L139" t="s">
        <v>39</v>
      </c>
    </row>
    <row r="140" spans="1:12" x14ac:dyDescent="0.35">
      <c r="A140" s="4">
        <v>45826</v>
      </c>
      <c r="B140" t="s">
        <v>27</v>
      </c>
      <c r="C140" t="s">
        <v>11</v>
      </c>
      <c r="D140" t="s">
        <v>12</v>
      </c>
      <c r="E140" t="s">
        <v>20</v>
      </c>
      <c r="F140">
        <v>35</v>
      </c>
      <c r="G140">
        <v>58</v>
      </c>
      <c r="H140">
        <v>49</v>
      </c>
      <c r="I140">
        <v>14565</v>
      </c>
      <c r="J140">
        <v>18513</v>
      </c>
      <c r="K140">
        <v>647955</v>
      </c>
      <c r="L140" t="s">
        <v>39</v>
      </c>
    </row>
    <row r="141" spans="1:12" x14ac:dyDescent="0.35">
      <c r="A141" s="4">
        <v>45729</v>
      </c>
      <c r="B141" t="s">
        <v>19</v>
      </c>
      <c r="C141" t="s">
        <v>15</v>
      </c>
      <c r="D141" t="s">
        <v>26</v>
      </c>
      <c r="E141" t="s">
        <v>17</v>
      </c>
      <c r="F141">
        <v>22</v>
      </c>
      <c r="G141">
        <v>50</v>
      </c>
      <c r="H141">
        <v>21</v>
      </c>
      <c r="I141">
        <v>48939</v>
      </c>
      <c r="J141">
        <v>53993</v>
      </c>
      <c r="K141">
        <v>1187846</v>
      </c>
      <c r="L141" t="s">
        <v>38</v>
      </c>
    </row>
    <row r="142" spans="1:12" x14ac:dyDescent="0.35">
      <c r="A142" s="4">
        <v>45685</v>
      </c>
      <c r="B142" t="s">
        <v>10</v>
      </c>
      <c r="C142" t="s">
        <v>11</v>
      </c>
      <c r="D142" t="s">
        <v>16</v>
      </c>
      <c r="E142" t="s">
        <v>17</v>
      </c>
      <c r="F142">
        <v>6</v>
      </c>
      <c r="G142">
        <v>92</v>
      </c>
      <c r="H142">
        <v>74</v>
      </c>
      <c r="I142">
        <v>20973</v>
      </c>
      <c r="J142">
        <v>22598</v>
      </c>
      <c r="K142">
        <v>135588</v>
      </c>
      <c r="L142" t="s">
        <v>37</v>
      </c>
    </row>
    <row r="143" spans="1:12" x14ac:dyDescent="0.35">
      <c r="A143" s="4">
        <v>45716</v>
      </c>
      <c r="B143" t="s">
        <v>21</v>
      </c>
      <c r="C143" t="s">
        <v>15</v>
      </c>
      <c r="D143" t="s">
        <v>16</v>
      </c>
      <c r="E143" t="s">
        <v>13</v>
      </c>
      <c r="F143">
        <v>75</v>
      </c>
      <c r="G143">
        <v>113</v>
      </c>
      <c r="H143">
        <v>66</v>
      </c>
      <c r="I143">
        <v>31492</v>
      </c>
      <c r="J143">
        <v>38204</v>
      </c>
      <c r="K143">
        <v>2865300</v>
      </c>
      <c r="L143" t="s">
        <v>38</v>
      </c>
    </row>
    <row r="144" spans="1:12" x14ac:dyDescent="0.35">
      <c r="A144" s="4">
        <v>45672</v>
      </c>
      <c r="B144" t="s">
        <v>19</v>
      </c>
      <c r="C144" t="s">
        <v>15</v>
      </c>
      <c r="D144" t="s">
        <v>26</v>
      </c>
      <c r="E144" t="s">
        <v>13</v>
      </c>
      <c r="F144">
        <v>84</v>
      </c>
      <c r="G144">
        <v>131</v>
      </c>
      <c r="H144">
        <v>4</v>
      </c>
      <c r="I144">
        <v>1980</v>
      </c>
      <c r="J144">
        <v>3925</v>
      </c>
      <c r="K144">
        <v>329700</v>
      </c>
      <c r="L144" t="s">
        <v>38</v>
      </c>
    </row>
    <row r="145" spans="1:12" x14ac:dyDescent="0.35">
      <c r="A145" s="4">
        <v>45758</v>
      </c>
      <c r="B145" t="s">
        <v>22</v>
      </c>
      <c r="C145" t="s">
        <v>15</v>
      </c>
      <c r="D145" t="s">
        <v>26</v>
      </c>
      <c r="E145" t="s">
        <v>20</v>
      </c>
      <c r="F145">
        <v>31</v>
      </c>
      <c r="G145">
        <v>66</v>
      </c>
      <c r="H145">
        <v>97</v>
      </c>
      <c r="I145">
        <v>46794</v>
      </c>
      <c r="J145">
        <v>52674</v>
      </c>
      <c r="K145">
        <v>1632894</v>
      </c>
      <c r="L145" t="s">
        <v>37</v>
      </c>
    </row>
    <row r="146" spans="1:12" x14ac:dyDescent="0.35">
      <c r="A146" s="4">
        <v>45709</v>
      </c>
      <c r="B146" t="s">
        <v>10</v>
      </c>
      <c r="C146" t="s">
        <v>11</v>
      </c>
      <c r="D146" t="s">
        <v>26</v>
      </c>
      <c r="E146" t="s">
        <v>13</v>
      </c>
      <c r="F146">
        <v>51</v>
      </c>
      <c r="G146">
        <v>99</v>
      </c>
      <c r="H146">
        <v>120</v>
      </c>
      <c r="I146">
        <v>21673</v>
      </c>
      <c r="J146">
        <v>28689</v>
      </c>
      <c r="K146">
        <v>1463139</v>
      </c>
      <c r="L146" t="s">
        <v>37</v>
      </c>
    </row>
    <row r="147" spans="1:12" x14ac:dyDescent="0.35">
      <c r="A147" s="4">
        <v>45835</v>
      </c>
      <c r="B147" t="s">
        <v>25</v>
      </c>
      <c r="C147" t="s">
        <v>15</v>
      </c>
      <c r="D147" t="s">
        <v>16</v>
      </c>
      <c r="E147" t="s">
        <v>17</v>
      </c>
      <c r="F147">
        <v>36</v>
      </c>
      <c r="G147">
        <v>143</v>
      </c>
      <c r="H147">
        <v>29</v>
      </c>
      <c r="I147">
        <v>19683</v>
      </c>
      <c r="J147">
        <v>26758</v>
      </c>
      <c r="K147">
        <v>963288</v>
      </c>
      <c r="L147" t="s">
        <v>38</v>
      </c>
    </row>
    <row r="148" spans="1:12" x14ac:dyDescent="0.35">
      <c r="A148" s="4">
        <v>45822</v>
      </c>
      <c r="B148" t="s">
        <v>14</v>
      </c>
      <c r="C148" t="s">
        <v>15</v>
      </c>
      <c r="D148" t="s">
        <v>12</v>
      </c>
      <c r="E148" t="s">
        <v>24</v>
      </c>
      <c r="F148">
        <v>55</v>
      </c>
      <c r="G148">
        <v>72</v>
      </c>
      <c r="H148">
        <v>37</v>
      </c>
      <c r="I148">
        <v>48757</v>
      </c>
      <c r="J148">
        <v>56826</v>
      </c>
      <c r="K148">
        <v>3125430</v>
      </c>
      <c r="L148" t="s">
        <v>38</v>
      </c>
    </row>
    <row r="149" spans="1:12" x14ac:dyDescent="0.35">
      <c r="A149" s="4">
        <v>45725</v>
      </c>
      <c r="B149" t="s">
        <v>10</v>
      </c>
      <c r="C149" t="s">
        <v>11</v>
      </c>
      <c r="D149" t="s">
        <v>16</v>
      </c>
      <c r="E149" t="s">
        <v>24</v>
      </c>
      <c r="F149">
        <v>76</v>
      </c>
      <c r="G149">
        <v>126</v>
      </c>
      <c r="H149">
        <v>44</v>
      </c>
      <c r="I149">
        <v>30124</v>
      </c>
      <c r="J149">
        <v>35875</v>
      </c>
      <c r="K149">
        <v>2726500</v>
      </c>
      <c r="L149" t="s">
        <v>38</v>
      </c>
    </row>
    <row r="150" spans="1:12" x14ac:dyDescent="0.35">
      <c r="A150" s="4">
        <v>45668</v>
      </c>
      <c r="B150" t="s">
        <v>14</v>
      </c>
      <c r="C150" t="s">
        <v>15</v>
      </c>
      <c r="D150" t="s">
        <v>16</v>
      </c>
      <c r="E150" t="s">
        <v>20</v>
      </c>
      <c r="F150">
        <v>99</v>
      </c>
      <c r="G150">
        <v>119</v>
      </c>
      <c r="H150">
        <v>22</v>
      </c>
      <c r="I150">
        <v>9313</v>
      </c>
      <c r="J150">
        <v>11629</v>
      </c>
      <c r="K150">
        <v>1151271</v>
      </c>
      <c r="L150" t="s">
        <v>38</v>
      </c>
    </row>
    <row r="151" spans="1:12" x14ac:dyDescent="0.35">
      <c r="A151" s="4">
        <v>45816</v>
      </c>
      <c r="B151" t="s">
        <v>23</v>
      </c>
      <c r="C151" t="s">
        <v>15</v>
      </c>
      <c r="D151" t="s">
        <v>18</v>
      </c>
      <c r="E151" t="s">
        <v>20</v>
      </c>
      <c r="F151">
        <v>30</v>
      </c>
      <c r="G151">
        <v>86</v>
      </c>
      <c r="H151">
        <v>90</v>
      </c>
      <c r="I151">
        <v>44108</v>
      </c>
      <c r="J151">
        <v>45467</v>
      </c>
      <c r="K151">
        <v>1364010</v>
      </c>
      <c r="L151" t="s">
        <v>37</v>
      </c>
    </row>
    <row r="152" spans="1:12" x14ac:dyDescent="0.35">
      <c r="A152" s="4">
        <v>45667</v>
      </c>
      <c r="B152" t="s">
        <v>27</v>
      </c>
      <c r="C152" t="s">
        <v>11</v>
      </c>
      <c r="D152" t="s">
        <v>26</v>
      </c>
      <c r="E152" t="s">
        <v>13</v>
      </c>
      <c r="F152">
        <v>12</v>
      </c>
      <c r="G152">
        <v>62</v>
      </c>
      <c r="H152">
        <v>49</v>
      </c>
      <c r="I152">
        <v>1643</v>
      </c>
      <c r="J152">
        <v>2835</v>
      </c>
      <c r="K152">
        <v>34020</v>
      </c>
      <c r="L152" t="s">
        <v>37</v>
      </c>
    </row>
    <row r="153" spans="1:12" x14ac:dyDescent="0.35">
      <c r="A153" s="4">
        <v>45769</v>
      </c>
      <c r="B153" t="s">
        <v>22</v>
      </c>
      <c r="C153" t="s">
        <v>15</v>
      </c>
      <c r="D153" t="s">
        <v>26</v>
      </c>
      <c r="E153" t="s">
        <v>20</v>
      </c>
      <c r="F153">
        <v>59</v>
      </c>
      <c r="G153">
        <v>112</v>
      </c>
      <c r="H153">
        <v>99</v>
      </c>
      <c r="I153">
        <v>23162</v>
      </c>
      <c r="J153">
        <v>24227</v>
      </c>
      <c r="K153">
        <v>1429393</v>
      </c>
      <c r="L153" t="s">
        <v>39</v>
      </c>
    </row>
    <row r="154" spans="1:12" x14ac:dyDescent="0.35">
      <c r="A154" s="4">
        <v>45835</v>
      </c>
      <c r="B154" t="s">
        <v>19</v>
      </c>
      <c r="C154" t="s">
        <v>15</v>
      </c>
      <c r="D154" t="s">
        <v>16</v>
      </c>
      <c r="E154" t="s">
        <v>17</v>
      </c>
      <c r="F154">
        <v>66</v>
      </c>
      <c r="G154">
        <v>38</v>
      </c>
      <c r="H154">
        <v>112</v>
      </c>
      <c r="I154">
        <v>19579</v>
      </c>
      <c r="J154">
        <v>23750</v>
      </c>
      <c r="K154">
        <v>1567500</v>
      </c>
      <c r="L154" t="s">
        <v>39</v>
      </c>
    </row>
    <row r="155" spans="1:12" x14ac:dyDescent="0.35">
      <c r="A155" s="4">
        <v>45732</v>
      </c>
      <c r="B155" t="s">
        <v>25</v>
      </c>
      <c r="C155" t="s">
        <v>15</v>
      </c>
      <c r="D155" t="s">
        <v>16</v>
      </c>
      <c r="E155" t="s">
        <v>24</v>
      </c>
      <c r="F155">
        <v>18</v>
      </c>
      <c r="G155">
        <v>81</v>
      </c>
      <c r="H155">
        <v>45</v>
      </c>
      <c r="I155">
        <v>14854</v>
      </c>
      <c r="J155">
        <v>21844</v>
      </c>
      <c r="K155">
        <v>393192</v>
      </c>
      <c r="L155" t="s">
        <v>37</v>
      </c>
    </row>
    <row r="156" spans="1:12" x14ac:dyDescent="0.35">
      <c r="A156" s="4">
        <v>45690</v>
      </c>
      <c r="B156" t="s">
        <v>10</v>
      </c>
      <c r="C156" t="s">
        <v>11</v>
      </c>
      <c r="D156" t="s">
        <v>26</v>
      </c>
      <c r="E156" t="s">
        <v>20</v>
      </c>
      <c r="F156">
        <v>75</v>
      </c>
      <c r="G156">
        <v>122</v>
      </c>
      <c r="H156">
        <v>16</v>
      </c>
      <c r="I156">
        <v>33820</v>
      </c>
      <c r="J156">
        <v>43047</v>
      </c>
      <c r="K156">
        <v>3228525</v>
      </c>
      <c r="L156" t="s">
        <v>38</v>
      </c>
    </row>
    <row r="157" spans="1:12" x14ac:dyDescent="0.35">
      <c r="A157" s="4">
        <v>45680</v>
      </c>
      <c r="B157" t="s">
        <v>21</v>
      </c>
      <c r="C157" t="s">
        <v>15</v>
      </c>
      <c r="D157" t="s">
        <v>12</v>
      </c>
      <c r="E157" t="s">
        <v>24</v>
      </c>
      <c r="F157">
        <v>51</v>
      </c>
      <c r="G157">
        <v>113</v>
      </c>
      <c r="H157">
        <v>93</v>
      </c>
      <c r="I157">
        <v>41410</v>
      </c>
      <c r="J157">
        <v>44678</v>
      </c>
      <c r="K157">
        <v>2278578</v>
      </c>
      <c r="L157" t="s">
        <v>39</v>
      </c>
    </row>
    <row r="158" spans="1:12" x14ac:dyDescent="0.35">
      <c r="A158" s="4">
        <v>45787</v>
      </c>
      <c r="B158" t="s">
        <v>14</v>
      </c>
      <c r="C158" t="s">
        <v>15</v>
      </c>
      <c r="D158" t="s">
        <v>26</v>
      </c>
      <c r="E158" t="s">
        <v>17</v>
      </c>
      <c r="F158">
        <v>50</v>
      </c>
      <c r="G158">
        <v>28</v>
      </c>
      <c r="H158">
        <v>45</v>
      </c>
      <c r="I158">
        <v>8828</v>
      </c>
      <c r="J158">
        <v>14831</v>
      </c>
      <c r="K158">
        <v>741550</v>
      </c>
      <c r="L158" t="s">
        <v>38</v>
      </c>
    </row>
    <row r="159" spans="1:12" x14ac:dyDescent="0.35">
      <c r="A159" s="4">
        <v>45818</v>
      </c>
      <c r="B159" t="s">
        <v>23</v>
      </c>
      <c r="C159" t="s">
        <v>15</v>
      </c>
      <c r="D159" t="s">
        <v>12</v>
      </c>
      <c r="E159" t="s">
        <v>24</v>
      </c>
      <c r="F159">
        <v>67</v>
      </c>
      <c r="G159">
        <v>71</v>
      </c>
      <c r="H159">
        <v>34</v>
      </c>
      <c r="I159">
        <v>9873</v>
      </c>
      <c r="J159">
        <v>12680</v>
      </c>
      <c r="K159">
        <v>849560</v>
      </c>
      <c r="L159" t="s">
        <v>38</v>
      </c>
    </row>
    <row r="160" spans="1:12" x14ac:dyDescent="0.35">
      <c r="A160" s="4">
        <v>45807</v>
      </c>
      <c r="B160" t="s">
        <v>19</v>
      </c>
      <c r="C160" t="s">
        <v>15</v>
      </c>
      <c r="D160" t="s">
        <v>16</v>
      </c>
      <c r="E160" t="s">
        <v>13</v>
      </c>
      <c r="F160">
        <v>71</v>
      </c>
      <c r="G160">
        <v>36</v>
      </c>
      <c r="H160">
        <v>91</v>
      </c>
      <c r="I160">
        <v>49017</v>
      </c>
      <c r="J160">
        <v>55608</v>
      </c>
      <c r="K160">
        <v>3948168</v>
      </c>
      <c r="L160" t="s">
        <v>39</v>
      </c>
    </row>
    <row r="161" spans="1:12" x14ac:dyDescent="0.35">
      <c r="A161" s="4">
        <v>45832</v>
      </c>
      <c r="B161" t="s">
        <v>19</v>
      </c>
      <c r="C161" t="s">
        <v>15</v>
      </c>
      <c r="D161" t="s">
        <v>26</v>
      </c>
      <c r="E161" t="s">
        <v>13</v>
      </c>
      <c r="F161">
        <v>24</v>
      </c>
      <c r="G161">
        <v>49</v>
      </c>
      <c r="H161">
        <v>39</v>
      </c>
      <c r="I161">
        <v>33225</v>
      </c>
      <c r="J161">
        <v>41328</v>
      </c>
      <c r="K161">
        <v>991872</v>
      </c>
      <c r="L161" t="s">
        <v>39</v>
      </c>
    </row>
    <row r="162" spans="1:12" x14ac:dyDescent="0.35">
      <c r="A162" s="4">
        <v>45783</v>
      </c>
      <c r="B162" t="s">
        <v>14</v>
      </c>
      <c r="C162" t="s">
        <v>15</v>
      </c>
      <c r="D162" t="s">
        <v>26</v>
      </c>
      <c r="E162" t="s">
        <v>24</v>
      </c>
      <c r="F162">
        <v>49</v>
      </c>
      <c r="G162">
        <v>107</v>
      </c>
      <c r="H162">
        <v>118</v>
      </c>
      <c r="I162">
        <v>21871</v>
      </c>
      <c r="J162">
        <v>22372</v>
      </c>
      <c r="K162">
        <v>1096228</v>
      </c>
      <c r="L162" t="s">
        <v>37</v>
      </c>
    </row>
    <row r="163" spans="1:12" x14ac:dyDescent="0.35">
      <c r="A163" s="4">
        <v>45689</v>
      </c>
      <c r="B163" t="s">
        <v>25</v>
      </c>
      <c r="C163" t="s">
        <v>15</v>
      </c>
      <c r="D163" t="s">
        <v>18</v>
      </c>
      <c r="E163" t="s">
        <v>17</v>
      </c>
      <c r="F163">
        <v>37</v>
      </c>
      <c r="G163">
        <v>142</v>
      </c>
      <c r="H163">
        <v>111</v>
      </c>
      <c r="I163">
        <v>6632</v>
      </c>
      <c r="J163">
        <v>9363</v>
      </c>
      <c r="K163">
        <v>346431</v>
      </c>
      <c r="L163" t="s">
        <v>37</v>
      </c>
    </row>
    <row r="164" spans="1:12" x14ac:dyDescent="0.35">
      <c r="A164" s="4">
        <v>45702</v>
      </c>
      <c r="B164" t="s">
        <v>25</v>
      </c>
      <c r="C164" t="s">
        <v>15</v>
      </c>
      <c r="D164" t="s">
        <v>16</v>
      </c>
      <c r="E164" t="s">
        <v>13</v>
      </c>
      <c r="F164">
        <v>11</v>
      </c>
      <c r="G164">
        <v>58</v>
      </c>
      <c r="H164">
        <v>100</v>
      </c>
      <c r="I164">
        <v>26179</v>
      </c>
      <c r="J164">
        <v>28663</v>
      </c>
      <c r="K164">
        <v>315293</v>
      </c>
      <c r="L164" t="s">
        <v>37</v>
      </c>
    </row>
    <row r="165" spans="1:12" x14ac:dyDescent="0.35">
      <c r="A165" s="4">
        <v>45684</v>
      </c>
      <c r="B165" t="s">
        <v>21</v>
      </c>
      <c r="C165" t="s">
        <v>15</v>
      </c>
      <c r="D165" t="s">
        <v>12</v>
      </c>
      <c r="E165" t="s">
        <v>24</v>
      </c>
      <c r="F165">
        <v>30</v>
      </c>
      <c r="G165">
        <v>124</v>
      </c>
      <c r="H165">
        <v>103</v>
      </c>
      <c r="I165">
        <v>24399</v>
      </c>
      <c r="J165">
        <v>26966</v>
      </c>
      <c r="K165">
        <v>808980</v>
      </c>
      <c r="L165" t="s">
        <v>37</v>
      </c>
    </row>
    <row r="166" spans="1:12" x14ac:dyDescent="0.35">
      <c r="A166" s="4">
        <v>45838</v>
      </c>
      <c r="B166" t="s">
        <v>19</v>
      </c>
      <c r="C166" t="s">
        <v>15</v>
      </c>
      <c r="D166" t="s">
        <v>16</v>
      </c>
      <c r="E166" t="s">
        <v>20</v>
      </c>
      <c r="F166">
        <v>93</v>
      </c>
      <c r="G166">
        <v>43</v>
      </c>
      <c r="H166">
        <v>64</v>
      </c>
      <c r="I166">
        <v>11719</v>
      </c>
      <c r="J166">
        <v>15864</v>
      </c>
      <c r="K166">
        <v>1475352</v>
      </c>
      <c r="L166" t="s">
        <v>38</v>
      </c>
    </row>
    <row r="167" spans="1:12" x14ac:dyDescent="0.35">
      <c r="A167" s="4">
        <v>45691</v>
      </c>
      <c r="B167" t="s">
        <v>25</v>
      </c>
      <c r="C167" t="s">
        <v>15</v>
      </c>
      <c r="D167" t="s">
        <v>16</v>
      </c>
      <c r="E167" t="s">
        <v>17</v>
      </c>
      <c r="F167">
        <v>75</v>
      </c>
      <c r="G167">
        <v>95</v>
      </c>
      <c r="H167">
        <v>21</v>
      </c>
      <c r="I167">
        <v>11710</v>
      </c>
      <c r="J167">
        <v>15018</v>
      </c>
      <c r="K167">
        <v>1126350</v>
      </c>
      <c r="L167" t="s">
        <v>38</v>
      </c>
    </row>
    <row r="168" spans="1:12" x14ac:dyDescent="0.35">
      <c r="A168" s="4">
        <v>45672</v>
      </c>
      <c r="B168" t="s">
        <v>19</v>
      </c>
      <c r="C168" t="s">
        <v>15</v>
      </c>
      <c r="D168" t="s">
        <v>12</v>
      </c>
      <c r="E168" t="s">
        <v>13</v>
      </c>
      <c r="F168">
        <v>20</v>
      </c>
      <c r="G168">
        <v>77</v>
      </c>
      <c r="H168">
        <v>95</v>
      </c>
      <c r="I168">
        <v>19891</v>
      </c>
      <c r="J168">
        <v>29425</v>
      </c>
      <c r="K168">
        <v>588500</v>
      </c>
      <c r="L168" t="s">
        <v>37</v>
      </c>
    </row>
    <row r="169" spans="1:12" x14ac:dyDescent="0.35">
      <c r="A169" s="4">
        <v>45805</v>
      </c>
      <c r="B169" t="s">
        <v>21</v>
      </c>
      <c r="C169" t="s">
        <v>15</v>
      </c>
      <c r="D169" t="s">
        <v>16</v>
      </c>
      <c r="E169" t="s">
        <v>17</v>
      </c>
      <c r="F169">
        <v>29</v>
      </c>
      <c r="G169">
        <v>130</v>
      </c>
      <c r="H169">
        <v>50</v>
      </c>
      <c r="I169">
        <v>8179</v>
      </c>
      <c r="J169">
        <v>14579</v>
      </c>
      <c r="K169">
        <v>422791</v>
      </c>
      <c r="L169" t="s">
        <v>39</v>
      </c>
    </row>
    <row r="170" spans="1:12" x14ac:dyDescent="0.35">
      <c r="A170" s="4">
        <v>45770</v>
      </c>
      <c r="B170" t="s">
        <v>19</v>
      </c>
      <c r="C170" t="s">
        <v>15</v>
      </c>
      <c r="D170" t="s">
        <v>12</v>
      </c>
      <c r="E170" t="s">
        <v>20</v>
      </c>
      <c r="F170">
        <v>77</v>
      </c>
      <c r="G170">
        <v>39</v>
      </c>
      <c r="H170">
        <v>52</v>
      </c>
      <c r="I170">
        <v>34315</v>
      </c>
      <c r="J170">
        <v>36618</v>
      </c>
      <c r="K170">
        <v>2819586</v>
      </c>
      <c r="L170" t="s">
        <v>38</v>
      </c>
    </row>
    <row r="171" spans="1:12" x14ac:dyDescent="0.35">
      <c r="A171" s="4">
        <v>45725</v>
      </c>
      <c r="B171" t="s">
        <v>19</v>
      </c>
      <c r="C171" t="s">
        <v>15</v>
      </c>
      <c r="D171" t="s">
        <v>26</v>
      </c>
      <c r="E171" t="s">
        <v>20</v>
      </c>
      <c r="F171">
        <v>76</v>
      </c>
      <c r="G171">
        <v>104</v>
      </c>
      <c r="H171">
        <v>34</v>
      </c>
      <c r="I171">
        <v>44306</v>
      </c>
      <c r="J171">
        <v>50331</v>
      </c>
      <c r="K171">
        <v>3825156</v>
      </c>
      <c r="L171" t="s">
        <v>38</v>
      </c>
    </row>
    <row r="172" spans="1:12" x14ac:dyDescent="0.35">
      <c r="A172" s="4">
        <v>45744</v>
      </c>
      <c r="B172" t="s">
        <v>25</v>
      </c>
      <c r="C172" t="s">
        <v>15</v>
      </c>
      <c r="D172" t="s">
        <v>18</v>
      </c>
      <c r="E172" t="s">
        <v>20</v>
      </c>
      <c r="F172">
        <v>31</v>
      </c>
      <c r="G172">
        <v>67</v>
      </c>
      <c r="H172">
        <v>114</v>
      </c>
      <c r="I172">
        <v>38897</v>
      </c>
      <c r="J172">
        <v>46846</v>
      </c>
      <c r="K172">
        <v>1452226</v>
      </c>
      <c r="L172" t="s">
        <v>37</v>
      </c>
    </row>
    <row r="173" spans="1:12" x14ac:dyDescent="0.35">
      <c r="A173" s="4">
        <v>45768</v>
      </c>
      <c r="B173" t="s">
        <v>23</v>
      </c>
      <c r="C173" t="s">
        <v>15</v>
      </c>
      <c r="D173" t="s">
        <v>26</v>
      </c>
      <c r="E173" t="s">
        <v>13</v>
      </c>
      <c r="F173">
        <v>6</v>
      </c>
      <c r="G173">
        <v>71</v>
      </c>
      <c r="H173">
        <v>54</v>
      </c>
      <c r="I173">
        <v>38436</v>
      </c>
      <c r="J173">
        <v>38804</v>
      </c>
      <c r="K173">
        <v>232824</v>
      </c>
      <c r="L173" t="s">
        <v>37</v>
      </c>
    </row>
    <row r="174" spans="1:12" x14ac:dyDescent="0.35">
      <c r="A174" s="4">
        <v>45677</v>
      </c>
      <c r="B174" t="s">
        <v>19</v>
      </c>
      <c r="C174" t="s">
        <v>15</v>
      </c>
      <c r="D174" t="s">
        <v>18</v>
      </c>
      <c r="E174" t="s">
        <v>24</v>
      </c>
      <c r="F174">
        <v>69</v>
      </c>
      <c r="G174">
        <v>94</v>
      </c>
      <c r="H174">
        <v>87</v>
      </c>
      <c r="I174">
        <v>46322</v>
      </c>
      <c r="J174">
        <v>50298</v>
      </c>
      <c r="K174">
        <v>3470562</v>
      </c>
      <c r="L174" t="s">
        <v>39</v>
      </c>
    </row>
    <row r="175" spans="1:12" x14ac:dyDescent="0.35">
      <c r="A175" s="4">
        <v>45700</v>
      </c>
      <c r="B175" t="s">
        <v>23</v>
      </c>
      <c r="C175" t="s">
        <v>15</v>
      </c>
      <c r="D175" t="s">
        <v>18</v>
      </c>
      <c r="E175" t="s">
        <v>13</v>
      </c>
      <c r="F175">
        <v>96</v>
      </c>
      <c r="G175">
        <v>62</v>
      </c>
      <c r="H175">
        <v>112</v>
      </c>
      <c r="I175">
        <v>13502</v>
      </c>
      <c r="J175">
        <v>14096</v>
      </c>
      <c r="K175">
        <v>1353216</v>
      </c>
      <c r="L175" t="s">
        <v>39</v>
      </c>
    </row>
    <row r="176" spans="1:12" x14ac:dyDescent="0.35">
      <c r="A176" s="4">
        <v>45812</v>
      </c>
      <c r="B176" t="s">
        <v>21</v>
      </c>
      <c r="C176" t="s">
        <v>15</v>
      </c>
      <c r="D176" t="s">
        <v>18</v>
      </c>
      <c r="E176" t="s">
        <v>20</v>
      </c>
      <c r="F176">
        <v>32</v>
      </c>
      <c r="G176">
        <v>150</v>
      </c>
      <c r="H176">
        <v>61</v>
      </c>
      <c r="I176">
        <v>32768</v>
      </c>
      <c r="J176">
        <v>38736</v>
      </c>
      <c r="K176">
        <v>1239552</v>
      </c>
      <c r="L176" t="s">
        <v>39</v>
      </c>
    </row>
    <row r="177" spans="1:12" x14ac:dyDescent="0.35">
      <c r="A177" s="4">
        <v>45806</v>
      </c>
      <c r="B177" t="s">
        <v>10</v>
      </c>
      <c r="C177" t="s">
        <v>11</v>
      </c>
      <c r="D177" t="s">
        <v>16</v>
      </c>
      <c r="E177" t="s">
        <v>24</v>
      </c>
      <c r="F177">
        <v>24</v>
      </c>
      <c r="G177">
        <v>108</v>
      </c>
      <c r="H177">
        <v>78</v>
      </c>
      <c r="I177">
        <v>21831</v>
      </c>
      <c r="J177">
        <v>24769</v>
      </c>
      <c r="K177">
        <v>594456</v>
      </c>
      <c r="L177" t="s">
        <v>37</v>
      </c>
    </row>
    <row r="178" spans="1:12" x14ac:dyDescent="0.35">
      <c r="A178" s="4">
        <v>45735</v>
      </c>
      <c r="B178" t="s">
        <v>14</v>
      </c>
      <c r="C178" t="s">
        <v>15</v>
      </c>
      <c r="D178" t="s">
        <v>26</v>
      </c>
      <c r="E178" t="s">
        <v>17</v>
      </c>
      <c r="F178">
        <v>37</v>
      </c>
      <c r="G178">
        <v>77</v>
      </c>
      <c r="H178">
        <v>29</v>
      </c>
      <c r="I178">
        <v>14377</v>
      </c>
      <c r="J178">
        <v>15008</v>
      </c>
      <c r="K178">
        <v>555296</v>
      </c>
      <c r="L178" t="s">
        <v>38</v>
      </c>
    </row>
    <row r="179" spans="1:12" x14ac:dyDescent="0.35">
      <c r="A179" s="4">
        <v>45761</v>
      </c>
      <c r="B179" t="s">
        <v>14</v>
      </c>
      <c r="C179" t="s">
        <v>15</v>
      </c>
      <c r="D179" t="s">
        <v>16</v>
      </c>
      <c r="E179" t="s">
        <v>24</v>
      </c>
      <c r="F179">
        <v>58</v>
      </c>
      <c r="G179">
        <v>43</v>
      </c>
      <c r="H179">
        <v>97</v>
      </c>
      <c r="I179">
        <v>20104</v>
      </c>
      <c r="J179">
        <v>23427</v>
      </c>
      <c r="K179">
        <v>1358766</v>
      </c>
      <c r="L179" t="s">
        <v>39</v>
      </c>
    </row>
    <row r="180" spans="1:12" x14ac:dyDescent="0.35">
      <c r="A180" s="4">
        <v>45807</v>
      </c>
      <c r="B180" t="s">
        <v>23</v>
      </c>
      <c r="C180" t="s">
        <v>15</v>
      </c>
      <c r="D180" t="s">
        <v>18</v>
      </c>
      <c r="E180" t="s">
        <v>20</v>
      </c>
      <c r="F180">
        <v>17</v>
      </c>
      <c r="G180">
        <v>114</v>
      </c>
      <c r="H180">
        <v>10</v>
      </c>
      <c r="I180">
        <v>13033</v>
      </c>
      <c r="J180">
        <v>18260</v>
      </c>
      <c r="K180">
        <v>310420</v>
      </c>
      <c r="L180" t="s">
        <v>38</v>
      </c>
    </row>
    <row r="181" spans="1:12" x14ac:dyDescent="0.35">
      <c r="A181" s="4">
        <v>45748</v>
      </c>
      <c r="B181" t="s">
        <v>10</v>
      </c>
      <c r="C181" t="s">
        <v>11</v>
      </c>
      <c r="D181" t="s">
        <v>18</v>
      </c>
      <c r="E181" t="s">
        <v>13</v>
      </c>
      <c r="F181">
        <v>12</v>
      </c>
      <c r="G181">
        <v>116</v>
      </c>
      <c r="H181">
        <v>55</v>
      </c>
      <c r="I181">
        <v>13695</v>
      </c>
      <c r="J181">
        <v>18304</v>
      </c>
      <c r="K181">
        <v>219648</v>
      </c>
      <c r="L181" t="s">
        <v>37</v>
      </c>
    </row>
    <row r="182" spans="1:12" x14ac:dyDescent="0.35">
      <c r="A182" s="4">
        <v>45764</v>
      </c>
      <c r="B182" t="s">
        <v>14</v>
      </c>
      <c r="C182" t="s">
        <v>15</v>
      </c>
      <c r="D182" t="s">
        <v>12</v>
      </c>
      <c r="E182" t="s">
        <v>17</v>
      </c>
      <c r="F182">
        <v>82</v>
      </c>
      <c r="G182">
        <v>84</v>
      </c>
      <c r="H182">
        <v>7</v>
      </c>
      <c r="I182">
        <v>5418</v>
      </c>
      <c r="J182">
        <v>10003</v>
      </c>
      <c r="K182">
        <v>820246</v>
      </c>
      <c r="L182" t="s">
        <v>38</v>
      </c>
    </row>
    <row r="183" spans="1:12" x14ac:dyDescent="0.35">
      <c r="A183" s="4">
        <v>45810</v>
      </c>
      <c r="B183" t="s">
        <v>25</v>
      </c>
      <c r="C183" t="s">
        <v>15</v>
      </c>
      <c r="D183" t="s">
        <v>18</v>
      </c>
      <c r="E183" t="s">
        <v>17</v>
      </c>
      <c r="F183">
        <v>20</v>
      </c>
      <c r="G183">
        <v>94</v>
      </c>
      <c r="H183">
        <v>75</v>
      </c>
      <c r="I183">
        <v>30317</v>
      </c>
      <c r="J183">
        <v>31942</v>
      </c>
      <c r="K183">
        <v>638840</v>
      </c>
      <c r="L183" t="s">
        <v>37</v>
      </c>
    </row>
    <row r="184" spans="1:12" x14ac:dyDescent="0.35">
      <c r="A184" s="4">
        <v>45749</v>
      </c>
      <c r="B184" t="s">
        <v>22</v>
      </c>
      <c r="C184" t="s">
        <v>15</v>
      </c>
      <c r="D184" t="s">
        <v>12</v>
      </c>
      <c r="E184" t="s">
        <v>24</v>
      </c>
      <c r="F184">
        <v>50</v>
      </c>
      <c r="G184">
        <v>133</v>
      </c>
      <c r="H184">
        <v>114</v>
      </c>
      <c r="I184">
        <v>41632</v>
      </c>
      <c r="J184">
        <v>45293</v>
      </c>
      <c r="K184">
        <v>2264650</v>
      </c>
      <c r="L184" t="s">
        <v>37</v>
      </c>
    </row>
    <row r="185" spans="1:12" x14ac:dyDescent="0.35">
      <c r="A185" s="4">
        <v>45671</v>
      </c>
      <c r="B185" t="s">
        <v>14</v>
      </c>
      <c r="C185" t="s">
        <v>15</v>
      </c>
      <c r="D185" t="s">
        <v>26</v>
      </c>
      <c r="E185" t="s">
        <v>13</v>
      </c>
      <c r="F185">
        <v>64</v>
      </c>
      <c r="G185">
        <v>84</v>
      </c>
      <c r="H185">
        <v>42</v>
      </c>
      <c r="I185">
        <v>31475</v>
      </c>
      <c r="J185">
        <v>36772</v>
      </c>
      <c r="K185">
        <v>2353408</v>
      </c>
      <c r="L185" t="s">
        <v>38</v>
      </c>
    </row>
    <row r="186" spans="1:12" x14ac:dyDescent="0.35">
      <c r="A186" s="4">
        <v>45662</v>
      </c>
      <c r="B186" t="s">
        <v>25</v>
      </c>
      <c r="C186" t="s">
        <v>15</v>
      </c>
      <c r="D186" t="s">
        <v>16</v>
      </c>
      <c r="E186" t="s">
        <v>24</v>
      </c>
      <c r="F186">
        <v>41</v>
      </c>
      <c r="G186">
        <v>147</v>
      </c>
      <c r="H186">
        <v>42</v>
      </c>
      <c r="I186">
        <v>10656</v>
      </c>
      <c r="J186">
        <v>17581</v>
      </c>
      <c r="K186">
        <v>720821</v>
      </c>
      <c r="L186" t="s">
        <v>39</v>
      </c>
    </row>
    <row r="187" spans="1:12" x14ac:dyDescent="0.35">
      <c r="A187" s="4">
        <v>45779</v>
      </c>
      <c r="B187" t="s">
        <v>23</v>
      </c>
      <c r="C187" t="s">
        <v>15</v>
      </c>
      <c r="D187" t="s">
        <v>12</v>
      </c>
      <c r="E187" t="s">
        <v>24</v>
      </c>
      <c r="F187">
        <v>92</v>
      </c>
      <c r="G187">
        <v>71</v>
      </c>
      <c r="H187">
        <v>40</v>
      </c>
      <c r="I187">
        <v>41953</v>
      </c>
      <c r="J187">
        <v>44610</v>
      </c>
      <c r="K187">
        <v>4104120</v>
      </c>
      <c r="L187" t="s">
        <v>38</v>
      </c>
    </row>
    <row r="188" spans="1:12" x14ac:dyDescent="0.35">
      <c r="A188" s="4">
        <v>45668</v>
      </c>
      <c r="B188" t="s">
        <v>27</v>
      </c>
      <c r="C188" t="s">
        <v>11</v>
      </c>
      <c r="D188" t="s">
        <v>18</v>
      </c>
      <c r="E188" t="s">
        <v>24</v>
      </c>
      <c r="F188">
        <v>51</v>
      </c>
      <c r="G188">
        <v>21</v>
      </c>
      <c r="H188">
        <v>43</v>
      </c>
      <c r="I188">
        <v>49566</v>
      </c>
      <c r="J188">
        <v>58440</v>
      </c>
      <c r="K188">
        <v>2980440</v>
      </c>
      <c r="L188" t="s">
        <v>38</v>
      </c>
    </row>
    <row r="189" spans="1:12" x14ac:dyDescent="0.35">
      <c r="A189" s="4">
        <v>45675</v>
      </c>
      <c r="B189" t="s">
        <v>23</v>
      </c>
      <c r="C189" t="s">
        <v>15</v>
      </c>
      <c r="D189" t="s">
        <v>18</v>
      </c>
      <c r="E189" t="s">
        <v>24</v>
      </c>
      <c r="F189">
        <v>77</v>
      </c>
      <c r="G189">
        <v>126</v>
      </c>
      <c r="H189">
        <v>37</v>
      </c>
      <c r="I189">
        <v>26894</v>
      </c>
      <c r="J189">
        <v>28282</v>
      </c>
      <c r="K189">
        <v>2177714</v>
      </c>
      <c r="L189" t="s">
        <v>38</v>
      </c>
    </row>
    <row r="190" spans="1:12" x14ac:dyDescent="0.35">
      <c r="A190" s="4">
        <v>45678</v>
      </c>
      <c r="B190" t="s">
        <v>21</v>
      </c>
      <c r="C190" t="s">
        <v>15</v>
      </c>
      <c r="D190" t="s">
        <v>16</v>
      </c>
      <c r="E190" t="s">
        <v>17</v>
      </c>
      <c r="F190">
        <v>28</v>
      </c>
      <c r="G190">
        <v>78</v>
      </c>
      <c r="H190">
        <v>29</v>
      </c>
      <c r="I190">
        <v>8275</v>
      </c>
      <c r="J190">
        <v>10647</v>
      </c>
      <c r="K190">
        <v>298116</v>
      </c>
      <c r="L190" t="s">
        <v>39</v>
      </c>
    </row>
    <row r="191" spans="1:12" x14ac:dyDescent="0.35">
      <c r="A191" s="4">
        <v>45822</v>
      </c>
      <c r="B191" t="s">
        <v>19</v>
      </c>
      <c r="C191" t="s">
        <v>15</v>
      </c>
      <c r="D191" t="s">
        <v>18</v>
      </c>
      <c r="E191" t="s">
        <v>17</v>
      </c>
      <c r="F191">
        <v>32</v>
      </c>
      <c r="G191">
        <v>130</v>
      </c>
      <c r="H191">
        <v>11</v>
      </c>
      <c r="I191">
        <v>4335</v>
      </c>
      <c r="J191">
        <v>10716</v>
      </c>
      <c r="K191">
        <v>342912</v>
      </c>
      <c r="L191" t="s">
        <v>38</v>
      </c>
    </row>
    <row r="192" spans="1:12" x14ac:dyDescent="0.35">
      <c r="A192" s="4">
        <v>45701</v>
      </c>
      <c r="B192" t="s">
        <v>27</v>
      </c>
      <c r="C192" t="s">
        <v>11</v>
      </c>
      <c r="D192" t="s">
        <v>12</v>
      </c>
      <c r="E192" t="s">
        <v>20</v>
      </c>
      <c r="F192">
        <v>61</v>
      </c>
      <c r="G192">
        <v>92</v>
      </c>
      <c r="H192">
        <v>54</v>
      </c>
      <c r="I192">
        <v>7176</v>
      </c>
      <c r="J192">
        <v>13417</v>
      </c>
      <c r="K192">
        <v>818437</v>
      </c>
      <c r="L192" t="s">
        <v>38</v>
      </c>
    </row>
    <row r="193" spans="1:12" x14ac:dyDescent="0.35">
      <c r="A193" s="4">
        <v>45741</v>
      </c>
      <c r="B193" t="s">
        <v>22</v>
      </c>
      <c r="C193" t="s">
        <v>15</v>
      </c>
      <c r="D193" t="s">
        <v>18</v>
      </c>
      <c r="E193" t="s">
        <v>13</v>
      </c>
      <c r="F193">
        <v>81</v>
      </c>
      <c r="G193">
        <v>59</v>
      </c>
      <c r="H193">
        <v>103</v>
      </c>
      <c r="I193">
        <v>11994</v>
      </c>
      <c r="J193">
        <v>17152</v>
      </c>
      <c r="K193">
        <v>1389312</v>
      </c>
      <c r="L193" t="s">
        <v>39</v>
      </c>
    </row>
    <row r="194" spans="1:12" x14ac:dyDescent="0.35">
      <c r="A194" s="4">
        <v>45752</v>
      </c>
      <c r="B194" t="s">
        <v>21</v>
      </c>
      <c r="C194" t="s">
        <v>15</v>
      </c>
      <c r="D194" t="s">
        <v>16</v>
      </c>
      <c r="E194" t="s">
        <v>17</v>
      </c>
      <c r="F194">
        <v>75</v>
      </c>
      <c r="G194">
        <v>97</v>
      </c>
      <c r="H194">
        <v>89</v>
      </c>
      <c r="I194">
        <v>22085</v>
      </c>
      <c r="J194">
        <v>24528</v>
      </c>
      <c r="K194">
        <v>1839600</v>
      </c>
      <c r="L194" t="s">
        <v>39</v>
      </c>
    </row>
    <row r="195" spans="1:12" x14ac:dyDescent="0.35">
      <c r="A195" s="4">
        <v>45752</v>
      </c>
      <c r="B195" t="s">
        <v>14</v>
      </c>
      <c r="C195" t="s">
        <v>15</v>
      </c>
      <c r="D195" t="s">
        <v>26</v>
      </c>
      <c r="E195" t="s">
        <v>17</v>
      </c>
      <c r="F195">
        <v>96</v>
      </c>
      <c r="G195">
        <v>105</v>
      </c>
      <c r="H195">
        <v>23</v>
      </c>
      <c r="I195">
        <v>33880</v>
      </c>
      <c r="J195">
        <v>39771</v>
      </c>
      <c r="K195">
        <v>3818016</v>
      </c>
      <c r="L195" t="s">
        <v>38</v>
      </c>
    </row>
    <row r="196" spans="1:12" x14ac:dyDescent="0.35">
      <c r="A196" s="4">
        <v>45831</v>
      </c>
      <c r="B196" t="s">
        <v>10</v>
      </c>
      <c r="C196" t="s">
        <v>11</v>
      </c>
      <c r="D196" t="s">
        <v>16</v>
      </c>
      <c r="E196" t="s">
        <v>20</v>
      </c>
      <c r="F196">
        <v>16</v>
      </c>
      <c r="G196">
        <v>121</v>
      </c>
      <c r="H196">
        <v>23</v>
      </c>
      <c r="I196">
        <v>9895</v>
      </c>
      <c r="J196">
        <v>19449</v>
      </c>
      <c r="K196">
        <v>311184</v>
      </c>
      <c r="L196" t="s">
        <v>39</v>
      </c>
    </row>
    <row r="197" spans="1:12" x14ac:dyDescent="0.35">
      <c r="A197" s="4">
        <v>45669</v>
      </c>
      <c r="B197" t="s">
        <v>21</v>
      </c>
      <c r="C197" t="s">
        <v>15</v>
      </c>
      <c r="D197" t="s">
        <v>18</v>
      </c>
      <c r="E197" t="s">
        <v>24</v>
      </c>
      <c r="F197">
        <v>12</v>
      </c>
      <c r="G197">
        <v>68</v>
      </c>
      <c r="H197">
        <v>114</v>
      </c>
      <c r="I197">
        <v>19492</v>
      </c>
      <c r="J197">
        <v>27410</v>
      </c>
      <c r="K197">
        <v>328920</v>
      </c>
      <c r="L197" t="s">
        <v>37</v>
      </c>
    </row>
    <row r="198" spans="1:12" x14ac:dyDescent="0.35">
      <c r="A198" s="4">
        <v>45699</v>
      </c>
      <c r="B198" t="s">
        <v>23</v>
      </c>
      <c r="C198" t="s">
        <v>15</v>
      </c>
      <c r="D198" t="s">
        <v>16</v>
      </c>
      <c r="E198" t="s">
        <v>20</v>
      </c>
      <c r="F198">
        <v>94</v>
      </c>
      <c r="G198">
        <v>26</v>
      </c>
      <c r="H198">
        <v>95</v>
      </c>
      <c r="I198">
        <v>8493</v>
      </c>
      <c r="J198">
        <v>18140</v>
      </c>
      <c r="K198">
        <v>1705160</v>
      </c>
      <c r="L198" t="s">
        <v>39</v>
      </c>
    </row>
    <row r="199" spans="1:12" x14ac:dyDescent="0.35">
      <c r="A199" s="4">
        <v>45668</v>
      </c>
      <c r="B199" t="s">
        <v>23</v>
      </c>
      <c r="C199" t="s">
        <v>15</v>
      </c>
      <c r="D199" t="s">
        <v>16</v>
      </c>
      <c r="E199" t="s">
        <v>17</v>
      </c>
      <c r="F199">
        <v>18</v>
      </c>
      <c r="G199">
        <v>25</v>
      </c>
      <c r="H199">
        <v>116</v>
      </c>
      <c r="I199">
        <v>36824</v>
      </c>
      <c r="J199">
        <v>43822</v>
      </c>
      <c r="K199">
        <v>788796</v>
      </c>
      <c r="L199" t="s">
        <v>37</v>
      </c>
    </row>
    <row r="200" spans="1:12" x14ac:dyDescent="0.35">
      <c r="A200" s="4">
        <v>45783</v>
      </c>
      <c r="B200" t="s">
        <v>10</v>
      </c>
      <c r="C200" t="s">
        <v>11</v>
      </c>
      <c r="D200" t="s">
        <v>16</v>
      </c>
      <c r="E200" t="s">
        <v>17</v>
      </c>
      <c r="F200">
        <v>36</v>
      </c>
      <c r="G200">
        <v>71</v>
      </c>
      <c r="H200">
        <v>32</v>
      </c>
      <c r="I200">
        <v>27530</v>
      </c>
      <c r="J200">
        <v>29155</v>
      </c>
      <c r="K200">
        <v>1049580</v>
      </c>
      <c r="L200" t="s">
        <v>38</v>
      </c>
    </row>
    <row r="201" spans="1:12" x14ac:dyDescent="0.35">
      <c r="A201" s="4">
        <v>45705</v>
      </c>
      <c r="B201" t="s">
        <v>22</v>
      </c>
      <c r="C201" t="s">
        <v>15</v>
      </c>
      <c r="D201" t="s">
        <v>26</v>
      </c>
      <c r="E201" t="s">
        <v>13</v>
      </c>
      <c r="F201">
        <v>90</v>
      </c>
      <c r="G201">
        <v>41</v>
      </c>
      <c r="H201">
        <v>51</v>
      </c>
      <c r="I201">
        <v>21224</v>
      </c>
      <c r="J201">
        <v>24362</v>
      </c>
      <c r="K201">
        <v>2192580</v>
      </c>
      <c r="L201" t="s">
        <v>38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BAB94-A335-4419-B9D9-FD2A07501667}">
  <dimension ref="A1:H14"/>
  <sheetViews>
    <sheetView workbookViewId="0">
      <selection activeCell="C13" sqref="C13"/>
    </sheetView>
  </sheetViews>
  <sheetFormatPr defaultRowHeight="14.5" x14ac:dyDescent="0.35"/>
  <cols>
    <col min="1" max="1" width="15.26953125" bestFit="1" customWidth="1"/>
    <col min="2" max="2" width="19.1796875" bestFit="1" customWidth="1"/>
    <col min="3" max="3" width="20.08984375" bestFit="1" customWidth="1"/>
    <col min="4" max="4" width="10.7265625" bestFit="1" customWidth="1"/>
    <col min="5" max="5" width="19.1796875" bestFit="1" customWidth="1"/>
    <col min="7" max="7" width="16" bestFit="1" customWidth="1"/>
    <col min="8" max="8" width="19.1796875" bestFit="1" customWidth="1"/>
  </cols>
  <sheetData>
    <row r="1" spans="1:8" x14ac:dyDescent="0.35">
      <c r="A1" s="1" t="s">
        <v>31</v>
      </c>
      <c r="B1" t="s">
        <v>30</v>
      </c>
      <c r="D1" s="1" t="s">
        <v>32</v>
      </c>
      <c r="E1" t="s">
        <v>30</v>
      </c>
      <c r="G1" s="1" t="s">
        <v>3</v>
      </c>
      <c r="H1" t="s">
        <v>30</v>
      </c>
    </row>
    <row r="2" spans="1:8" x14ac:dyDescent="0.35">
      <c r="A2" s="2" t="s">
        <v>10</v>
      </c>
      <c r="B2" s="8">
        <v>37042541</v>
      </c>
      <c r="D2" s="2" t="s">
        <v>15</v>
      </c>
      <c r="E2" s="8">
        <v>230469998</v>
      </c>
      <c r="G2" s="2" t="s">
        <v>26</v>
      </c>
      <c r="H2" s="8">
        <v>61664273</v>
      </c>
    </row>
    <row r="3" spans="1:8" x14ac:dyDescent="0.35">
      <c r="A3" s="2" t="s">
        <v>21</v>
      </c>
      <c r="B3" s="8">
        <v>30499843</v>
      </c>
      <c r="D3" s="2" t="s">
        <v>11</v>
      </c>
      <c r="E3" s="8">
        <v>62994807</v>
      </c>
      <c r="G3" s="2" t="s">
        <v>12</v>
      </c>
      <c r="H3" s="8">
        <v>59866711</v>
      </c>
    </row>
    <row r="4" spans="1:8" x14ac:dyDescent="0.35">
      <c r="A4" s="2" t="s">
        <v>19</v>
      </c>
      <c r="B4" s="8">
        <v>44316915</v>
      </c>
      <c r="D4" s="2" t="s">
        <v>29</v>
      </c>
      <c r="E4" s="8">
        <v>293464805</v>
      </c>
      <c r="G4" s="2" t="s">
        <v>18</v>
      </c>
      <c r="H4" s="8">
        <v>74978861</v>
      </c>
    </row>
    <row r="5" spans="1:8" x14ac:dyDescent="0.35">
      <c r="A5" s="2" t="s">
        <v>23</v>
      </c>
      <c r="B5" s="8">
        <v>33660287</v>
      </c>
      <c r="G5" s="2" t="s">
        <v>16</v>
      </c>
      <c r="H5" s="8">
        <v>96954960</v>
      </c>
    </row>
    <row r="6" spans="1:8" x14ac:dyDescent="0.35">
      <c r="A6" s="2" t="s">
        <v>14</v>
      </c>
      <c r="B6" s="8">
        <v>37384053</v>
      </c>
      <c r="D6" s="1" t="s">
        <v>4</v>
      </c>
      <c r="E6" t="s">
        <v>30</v>
      </c>
      <c r="G6" s="2" t="s">
        <v>29</v>
      </c>
      <c r="H6" s="8">
        <v>293464805</v>
      </c>
    </row>
    <row r="7" spans="1:8" x14ac:dyDescent="0.35">
      <c r="A7" s="2" t="s">
        <v>22</v>
      </c>
      <c r="B7" s="8">
        <v>36663876</v>
      </c>
      <c r="D7" s="2" t="s">
        <v>17</v>
      </c>
      <c r="E7" s="8">
        <v>50650906</v>
      </c>
    </row>
    <row r="8" spans="1:8" x14ac:dyDescent="0.35">
      <c r="A8" s="2" t="s">
        <v>25</v>
      </c>
      <c r="B8" s="8">
        <v>47945024</v>
      </c>
      <c r="D8" s="2" t="s">
        <v>20</v>
      </c>
      <c r="E8" s="8">
        <v>69151711</v>
      </c>
    </row>
    <row r="9" spans="1:8" x14ac:dyDescent="0.35">
      <c r="A9" s="2" t="s">
        <v>27</v>
      </c>
      <c r="B9" s="8">
        <v>25952266</v>
      </c>
      <c r="D9" s="2" t="s">
        <v>24</v>
      </c>
      <c r="E9" s="8">
        <v>84538324</v>
      </c>
    </row>
    <row r="10" spans="1:8" x14ac:dyDescent="0.35">
      <c r="A10" s="2" t="s">
        <v>29</v>
      </c>
      <c r="B10" s="3">
        <v>293464805</v>
      </c>
      <c r="D10" s="2" t="s">
        <v>13</v>
      </c>
      <c r="E10" s="8">
        <v>89123864</v>
      </c>
    </row>
    <row r="11" spans="1:8" x14ac:dyDescent="0.35">
      <c r="D11" s="2" t="s">
        <v>29</v>
      </c>
      <c r="E11" s="8">
        <v>293464805</v>
      </c>
    </row>
    <row r="13" spans="1:8" x14ac:dyDescent="0.35">
      <c r="A13" t="s">
        <v>41</v>
      </c>
      <c r="C13" s="3" t="s">
        <v>30</v>
      </c>
    </row>
    <row r="14" spans="1:8" x14ac:dyDescent="0.35">
      <c r="A14" s="8">
        <v>200</v>
      </c>
      <c r="C14" s="3">
        <v>293464805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FB60F-B2BE-40CC-AC82-B0AC97061F7F}">
  <dimension ref="A1:J11"/>
  <sheetViews>
    <sheetView topLeftCell="B1" workbookViewId="0">
      <selection activeCell="F6" sqref="F6:G11"/>
    </sheetView>
  </sheetViews>
  <sheetFormatPr defaultRowHeight="14.5" x14ac:dyDescent="0.35"/>
  <cols>
    <col min="1" max="1" width="12.36328125" bestFit="1" customWidth="1"/>
    <col min="2" max="2" width="19.1796875" bestFit="1" customWidth="1"/>
    <col min="3" max="3" width="11.81640625" bestFit="1" customWidth="1"/>
    <col min="4" max="4" width="13.36328125" style="5" bestFit="1" customWidth="1"/>
    <col min="6" max="6" width="12.36328125" bestFit="1" customWidth="1"/>
    <col min="7" max="8" width="13.36328125" bestFit="1" customWidth="1"/>
    <col min="9" max="9" width="12.36328125" bestFit="1" customWidth="1"/>
    <col min="10" max="10" width="13.36328125" bestFit="1" customWidth="1"/>
  </cols>
  <sheetData>
    <row r="1" spans="1:10" x14ac:dyDescent="0.35">
      <c r="A1" s="1" t="s">
        <v>31</v>
      </c>
      <c r="B1" t="s">
        <v>30</v>
      </c>
      <c r="C1" t="s">
        <v>33</v>
      </c>
      <c r="D1" s="6" t="s">
        <v>34</v>
      </c>
      <c r="F1" s="1" t="s">
        <v>31</v>
      </c>
      <c r="G1" t="s">
        <v>34</v>
      </c>
      <c r="I1" s="1" t="s">
        <v>31</v>
      </c>
      <c r="J1" t="s">
        <v>34</v>
      </c>
    </row>
    <row r="2" spans="1:10" x14ac:dyDescent="0.35">
      <c r="A2" s="2" t="s">
        <v>10</v>
      </c>
      <c r="B2" s="8">
        <v>37042541</v>
      </c>
      <c r="C2" s="8">
        <v>127328</v>
      </c>
      <c r="D2" s="6">
        <v>3.4373451864438782E-3</v>
      </c>
      <c r="F2" s="2" t="s">
        <v>15</v>
      </c>
      <c r="G2" s="6">
        <v>3.2972621451578268E-3</v>
      </c>
      <c r="I2" s="2" t="s">
        <v>42</v>
      </c>
      <c r="J2" s="6">
        <v>4.3558609867255273E-3</v>
      </c>
    </row>
    <row r="3" spans="1:10" x14ac:dyDescent="0.35">
      <c r="A3" s="2" t="s">
        <v>21</v>
      </c>
      <c r="B3" s="8">
        <v>30499843</v>
      </c>
      <c r="C3" s="8">
        <v>102222</v>
      </c>
      <c r="D3" s="6">
        <v>3.3515582358899358E-3</v>
      </c>
      <c r="F3" s="2" t="s">
        <v>11</v>
      </c>
      <c r="G3" s="6">
        <v>3.7642944123949772E-3</v>
      </c>
      <c r="I3" s="2" t="s">
        <v>43</v>
      </c>
      <c r="J3" s="6">
        <v>3.2259736397292874E-3</v>
      </c>
    </row>
    <row r="4" spans="1:10" x14ac:dyDescent="0.35">
      <c r="A4" s="2" t="s">
        <v>19</v>
      </c>
      <c r="B4" s="8">
        <v>44316915</v>
      </c>
      <c r="C4" s="8">
        <v>133923</v>
      </c>
      <c r="D4" s="6">
        <v>3.0219386886474386E-3</v>
      </c>
      <c r="F4" s="2" t="s">
        <v>29</v>
      </c>
      <c r="G4" s="6">
        <v>3.3975147377553502E-3</v>
      </c>
      <c r="I4" s="2" t="s">
        <v>44</v>
      </c>
      <c r="J4" s="6">
        <v>2.3867200304012802E-3</v>
      </c>
    </row>
    <row r="5" spans="1:10" x14ac:dyDescent="0.35">
      <c r="A5" s="2" t="s">
        <v>23</v>
      </c>
      <c r="B5" s="8">
        <v>33660287</v>
      </c>
      <c r="C5" s="8">
        <v>105952</v>
      </c>
      <c r="D5" s="6">
        <v>3.1476855797456511E-3</v>
      </c>
      <c r="I5" s="2" t="s">
        <v>45</v>
      </c>
      <c r="J5" s="6">
        <v>2.324568881671628E-3</v>
      </c>
    </row>
    <row r="6" spans="1:10" x14ac:dyDescent="0.35">
      <c r="A6" s="2" t="s">
        <v>14</v>
      </c>
      <c r="B6" s="8">
        <v>37384053</v>
      </c>
      <c r="C6" s="8">
        <v>147302</v>
      </c>
      <c r="D6" s="6">
        <v>3.9402362285330594E-3</v>
      </c>
      <c r="F6" s="1" t="s">
        <v>31</v>
      </c>
      <c r="G6" t="s">
        <v>34</v>
      </c>
      <c r="I6" s="2" t="s">
        <v>46</v>
      </c>
      <c r="J6" s="6">
        <v>4.2087009849669319E-3</v>
      </c>
    </row>
    <row r="7" spans="1:10" x14ac:dyDescent="0.35">
      <c r="A7" s="2" t="s">
        <v>22</v>
      </c>
      <c r="B7" s="8">
        <v>36663876</v>
      </c>
      <c r="C7" s="8">
        <v>116328</v>
      </c>
      <c r="D7" s="6">
        <v>3.1728232988787112E-3</v>
      </c>
      <c r="F7" s="2" t="s">
        <v>17</v>
      </c>
      <c r="G7" s="6">
        <v>4.0744582140347105E-3</v>
      </c>
      <c r="I7" s="2" t="s">
        <v>47</v>
      </c>
      <c r="J7" s="6">
        <v>4.8443877346443578E-3</v>
      </c>
    </row>
    <row r="8" spans="1:10" x14ac:dyDescent="0.35">
      <c r="A8" s="2" t="s">
        <v>25</v>
      </c>
      <c r="B8" s="8">
        <v>47945024</v>
      </c>
      <c r="C8" s="8">
        <v>154193</v>
      </c>
      <c r="D8" s="6">
        <v>3.2160376017331851E-3</v>
      </c>
      <c r="F8" s="2" t="s">
        <v>20</v>
      </c>
      <c r="G8" s="6">
        <v>3.4196406217627791E-3</v>
      </c>
      <c r="I8" s="2" t="s">
        <v>29</v>
      </c>
      <c r="J8" s="6">
        <v>3.3975147377553502E-3</v>
      </c>
    </row>
    <row r="9" spans="1:10" x14ac:dyDescent="0.35">
      <c r="A9" s="2" t="s">
        <v>27</v>
      </c>
      <c r="B9" s="8">
        <v>25952266</v>
      </c>
      <c r="C9" s="8">
        <v>109803</v>
      </c>
      <c r="D9" s="6">
        <v>4.2309600248394497E-3</v>
      </c>
      <c r="F9" s="2" t="s">
        <v>24</v>
      </c>
      <c r="G9" s="6">
        <v>2.875062912295257E-3</v>
      </c>
    </row>
    <row r="10" spans="1:10" x14ac:dyDescent="0.35">
      <c r="A10" s="2" t="s">
        <v>29</v>
      </c>
      <c r="B10" s="8">
        <v>293464805</v>
      </c>
      <c r="C10" s="8">
        <v>997051</v>
      </c>
      <c r="D10" s="6">
        <v>3.3975147377553502E-3</v>
      </c>
      <c r="F10" s="2" t="s">
        <v>13</v>
      </c>
      <c r="G10" s="6">
        <v>3.4911973744764925E-3</v>
      </c>
    </row>
    <row r="11" spans="1:10" x14ac:dyDescent="0.35">
      <c r="F11" s="2" t="s">
        <v>29</v>
      </c>
      <c r="G11" s="6">
        <v>3.3975147377553502E-3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8F1B4-4EF9-44E9-9CE7-B4601EEAADF6}">
  <dimension ref="A1:H11"/>
  <sheetViews>
    <sheetView workbookViewId="0">
      <selection activeCell="D1" sqref="D1:H11"/>
    </sheetView>
  </sheetViews>
  <sheetFormatPr defaultRowHeight="14.5" x14ac:dyDescent="0.35"/>
  <cols>
    <col min="1" max="1" width="12.36328125" bestFit="1" customWidth="1"/>
    <col min="2" max="2" width="15.26953125" bestFit="1" customWidth="1"/>
    <col min="4" max="4" width="16.08984375" bestFit="1" customWidth="1"/>
    <col min="5" max="5" width="15.26953125" bestFit="1" customWidth="1"/>
    <col min="6" max="6" width="10.90625" bestFit="1" customWidth="1"/>
    <col min="7" max="7" width="11.36328125" bestFit="1" customWidth="1"/>
    <col min="8" max="8" width="10.7265625" bestFit="1" customWidth="1"/>
  </cols>
  <sheetData>
    <row r="1" spans="1:8" x14ac:dyDescent="0.35">
      <c r="A1" s="1" t="s">
        <v>31</v>
      </c>
      <c r="B1" t="s">
        <v>41</v>
      </c>
      <c r="D1" s="1" t="s">
        <v>35</v>
      </c>
      <c r="E1" s="1" t="s">
        <v>40</v>
      </c>
    </row>
    <row r="2" spans="1:8" x14ac:dyDescent="0.35">
      <c r="A2" s="2" t="s">
        <v>37</v>
      </c>
      <c r="B2" s="8">
        <v>60</v>
      </c>
      <c r="D2" s="1" t="s">
        <v>31</v>
      </c>
      <c r="E2" t="s">
        <v>37</v>
      </c>
      <c r="F2" t="s">
        <v>38</v>
      </c>
      <c r="G2" t="s">
        <v>39</v>
      </c>
      <c r="H2" t="s">
        <v>29</v>
      </c>
    </row>
    <row r="3" spans="1:8" x14ac:dyDescent="0.35">
      <c r="A3" s="2" t="s">
        <v>38</v>
      </c>
      <c r="B3" s="8">
        <v>79</v>
      </c>
      <c r="D3" s="2" t="s">
        <v>10</v>
      </c>
      <c r="E3" s="8">
        <v>222</v>
      </c>
      <c r="F3" s="8">
        <v>585</v>
      </c>
      <c r="G3" s="8">
        <v>455</v>
      </c>
      <c r="H3" s="8">
        <v>1262</v>
      </c>
    </row>
    <row r="4" spans="1:8" x14ac:dyDescent="0.35">
      <c r="A4" s="2" t="s">
        <v>39</v>
      </c>
      <c r="B4" s="8">
        <v>61</v>
      </c>
      <c r="D4" s="2" t="s">
        <v>21</v>
      </c>
      <c r="E4" s="8">
        <v>113</v>
      </c>
      <c r="F4" s="8">
        <v>319</v>
      </c>
      <c r="G4" s="8">
        <v>587</v>
      </c>
      <c r="H4" s="8">
        <v>1019</v>
      </c>
    </row>
    <row r="5" spans="1:8" x14ac:dyDescent="0.35">
      <c r="A5" s="2" t="s">
        <v>29</v>
      </c>
      <c r="B5" s="8">
        <v>200</v>
      </c>
      <c r="D5" s="2" t="s">
        <v>19</v>
      </c>
      <c r="E5" s="8">
        <v>51</v>
      </c>
      <c r="F5" s="8">
        <v>954</v>
      </c>
      <c r="G5" s="8">
        <v>406</v>
      </c>
      <c r="H5" s="8">
        <v>1411</v>
      </c>
    </row>
    <row r="6" spans="1:8" x14ac:dyDescent="0.35">
      <c r="D6" s="2" t="s">
        <v>23</v>
      </c>
      <c r="E6" s="8">
        <v>112</v>
      </c>
      <c r="F6" s="8">
        <v>614</v>
      </c>
      <c r="G6" s="8">
        <v>376</v>
      </c>
      <c r="H6" s="8">
        <v>1102</v>
      </c>
    </row>
    <row r="7" spans="1:8" x14ac:dyDescent="0.35">
      <c r="D7" s="2" t="s">
        <v>14</v>
      </c>
      <c r="E7" s="8">
        <v>268</v>
      </c>
      <c r="F7" s="8">
        <v>771</v>
      </c>
      <c r="G7" s="8">
        <v>488</v>
      </c>
      <c r="H7" s="8">
        <v>1527</v>
      </c>
    </row>
    <row r="8" spans="1:8" x14ac:dyDescent="0.35">
      <c r="D8" s="2" t="s">
        <v>22</v>
      </c>
      <c r="E8" s="8">
        <v>176</v>
      </c>
      <c r="F8" s="8">
        <v>642</v>
      </c>
      <c r="G8" s="8">
        <v>403</v>
      </c>
      <c r="H8" s="8">
        <v>1221</v>
      </c>
    </row>
    <row r="9" spans="1:8" x14ac:dyDescent="0.35">
      <c r="D9" s="2" t="s">
        <v>25</v>
      </c>
      <c r="E9" s="8">
        <v>272</v>
      </c>
      <c r="F9" s="8">
        <v>700</v>
      </c>
      <c r="G9" s="8">
        <v>533</v>
      </c>
      <c r="H9" s="8">
        <v>1505</v>
      </c>
    </row>
    <row r="10" spans="1:8" x14ac:dyDescent="0.35">
      <c r="D10" s="2" t="s">
        <v>27</v>
      </c>
      <c r="E10" s="8">
        <v>191</v>
      </c>
      <c r="F10" s="8">
        <v>406</v>
      </c>
      <c r="G10" s="8">
        <v>233</v>
      </c>
      <c r="H10" s="8">
        <v>830</v>
      </c>
    </row>
    <row r="11" spans="1:8" x14ac:dyDescent="0.35">
      <c r="D11" s="2" t="s">
        <v>29</v>
      </c>
      <c r="E11" s="8">
        <v>1405</v>
      </c>
      <c r="F11" s="8">
        <v>4991</v>
      </c>
      <c r="G11" s="8">
        <v>3481</v>
      </c>
      <c r="H11" s="8">
        <v>9877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3836B-ECBF-4ADF-ABE5-B61321FF8C75}">
  <dimension ref="A1"/>
  <sheetViews>
    <sheetView tabSelected="1" zoomScale="94" zoomScaleNormal="94" workbookViewId="0">
      <selection activeCell="P6" sqref="P6"/>
    </sheetView>
  </sheetViews>
  <sheetFormatPr defaultRowHeight="14.5" x14ac:dyDescent="0.35"/>
  <cols>
    <col min="1" max="12" width="8.7265625" style="7"/>
    <col min="13" max="13" width="8.6328125" style="7" customWidth="1"/>
    <col min="14" max="16384" width="8.7265625" style="7"/>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1C4A0E9-375D-45B7-B5CC-0575E7E27F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Table1 (2)</vt:lpstr>
      <vt:lpstr>sales analysis</vt:lpstr>
      <vt:lpstr>profit analysis</vt:lpstr>
      <vt:lpstr>stock 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2026-02-27T17:42:37Z</dcterms:created>
  <dcterms:modified xsi:type="dcterms:W3CDTF">2026-03-08T06:58:46Z</dcterms:modified>
</cp:coreProperties>
</file>